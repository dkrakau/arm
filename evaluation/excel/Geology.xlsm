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73D6C2CD-2E78-4716-948C-8F73798D694A}"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 l="1"/>
  <c r="T4" i="1"/>
  <c r="S3" i="1"/>
  <c r="S4"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3D171F89-2092-46A5-BA87-ABE4370E2EB1}">
      <text>
        <r>
          <rPr>
            <sz val="9"/>
            <color indexed="81"/>
            <rFont val="Segoe UI"/>
            <charset val="1"/>
          </rPr>
          <t>Evaluating the use of the landslide database in spatial planning in mountain communes (the Polish Carpathians)</t>
        </r>
      </text>
    </comment>
    <comment ref="I2" authorId="0" shapeId="0" xr:uid="{B90AE6D1-69FC-4091-9BDC-D053FE9908B4}">
      <text>
        <r>
          <rPr>
            <sz val="9"/>
            <color indexed="81"/>
            <rFont val="Segoe UI"/>
            <charset val="1"/>
          </rPr>
          <t>The paper uses the term 'vector databases' in the GIS sense (spatial vector data for landslide mapping), not in the sense of vector databases for high-dimensional similarity search or nearest neighbor search. The paper is entirely about landslide hazard assessment and spatial planning, with no connection to vector indexing, ANN search, or vector database technology.</t>
        </r>
      </text>
    </comment>
    <comment ref="J2" authorId="0" shapeId="0" xr:uid="{78DBC8AE-1B09-4A9B-9E6D-97E39E53A0F8}">
      <text>
        <r>
          <rPr>
            <sz val="9"/>
            <color indexed="81"/>
            <rFont val="Segoe UI"/>
            <charset val="1"/>
          </rPr>
          <t>Evaluating the use of a landslide database (SOPO) in local spatial planning in mountain communes of the Polish Carpathians, specifically examining the co-occurrence of landslides and residential/economic development areas in 14 selected communes.</t>
        </r>
      </text>
    </comment>
    <comment ref="K2" authorId="0" shapeId="0" xr:uid="{BB6AAC3F-B317-4679-A7FA-081566B3B1F3}">
      <text>
        <r>
          <rPr>
            <sz val="9"/>
            <color indexed="81"/>
            <rFont val="Segoe UI"/>
            <charset val="1"/>
          </rPr>
          <t>Spatial analysis combining the SOPO landslide database with local spatial development plans (LSDP), building location data (BDOT), and planning coverage data to assess the extent of landslides in development zones and identify planning deficiencies across 14 communes in the Małopolskie and Podkarpackie voivodships.</t>
        </r>
      </text>
    </comment>
    <comment ref="L2" authorId="0" shapeId="0" xr:uid="{5E8D6D9B-92AB-4B8D-9FE8-93B50CFD336C}">
      <text>
        <r>
          <rPr>
            <sz val="9"/>
            <color indexed="81"/>
            <rFont val="Segoe UI"/>
            <charset val="1"/>
          </rPr>
          <t>SOPO (Landslide Counteracting System); BDOT (Database of Topographic Objects); Geo-System</t>
        </r>
      </text>
    </comment>
    <comment ref="N2" authorId="0" shapeId="0" xr:uid="{AC72487F-F04A-46BA-8DF1-C6EE17EF0754}">
      <text>
        <r>
          <rPr>
            <sz val="9"/>
            <color indexed="81"/>
            <rFont val="Segoe UI"/>
            <charset val="1"/>
          </rPr>
          <t>Landslide hazard assessment and spatial planning in mountainous regions (Polish Carpathians)</t>
        </r>
      </text>
    </comment>
    <comment ref="O2" authorId="0" shapeId="0" xr:uid="{414AA018-FB97-43DB-B04D-8FF0CB9C4026}">
      <text>
        <r>
          <rPr>
            <sz val="9"/>
            <color indexed="81"/>
            <rFont val="Segoe UI"/>
            <charset val="1"/>
          </rPr>
          <t>The study examined 14 communes in the Polish Carpathians and found that 1-23% of commune area is affected by landslides, with up to 11% of designated development areas (M1-3) located on landslide zones. Approximately 722 buildings were recorded in development areas occupied by landslides, and 10-23% of gross floor area in 17 communes was located in landslide areas. The analysis revealed that even after the SOPO database was established, spatial planning quality did not improve, with similar percentages of development areas on landslides in communes with plans created before and after SOPO. The authors conclude that Polish spatial planning is faulty in the majority of analyzed communes and recommend statutory bans on development in active landslide areas, improved data dissemination, and public awareness campaigns.</t>
        </r>
      </text>
    </comment>
    <comment ref="P2" authorId="0" shapeId="0" xr:uid="{50148D02-EABB-41AF-9F19-20379405DB8C}">
      <text>
        <r>
          <rPr>
            <sz val="9"/>
            <color indexed="81"/>
            <rFont val="Segoe UI"/>
            <charset val="1"/>
          </rPr>
          <t>The study covers only 14 selected communes out of 201 in the region, limiting generalizability; LSDPs are not always developed for the total area of the commune, making the landslide rate in development zones potentially variable; The analysis of communes with LSDPs created after SOPO is limited to only 3 out of 14 communes; No statistically significant differences were found in the share of M1-3 areas occupied by landslides between pre- and post-SOPO planning periods</t>
        </r>
      </text>
    </comment>
    <comment ref="Q2" authorId="0" shapeId="0" xr:uid="{AB746903-95F1-416B-BC31-7A708B54FA21}">
      <text>
        <r>
          <rPr>
            <sz val="9"/>
            <color indexed="81"/>
            <rFont val="Segoe UI"/>
            <charset val="1"/>
          </rPr>
          <t>Need for a new methodology for proper spatial planning in Poland that incorporates landslide hazard data; Need for reclassification of landslides beyond the current three-category system (active, periodically active, inactive); Need for statutory bans on development in the most active and dangerous landslide areas; Need for wider dissemination of landslide data and maps to local communities; Need for educational initiatives and information campaigns to raise landslide awareness among local communities</t>
        </r>
      </text>
    </comment>
    <comment ref="H3" authorId="0" shapeId="0" xr:uid="{896F7299-1CD4-48B0-93AE-B9CF72E1C731}">
      <text>
        <r>
          <rPr>
            <sz val="9"/>
            <color indexed="81"/>
            <rFont val="Segoe UI"/>
            <charset val="1"/>
          </rPr>
          <t>Morphotectonic and morphostructural investigation in northwestern Minas Gerais State, Brazil: a lineament mapping assessment</t>
        </r>
      </text>
    </comment>
    <comment ref="I3" authorId="0" shapeId="0" xr:uid="{F360DB40-558F-4C86-A83F-7DF7B2C6BFF5}">
      <text>
        <r>
          <rPr>
            <sz val="9"/>
            <color indexed="81"/>
            <rFont val="Segoe UI"/>
            <charset val="1"/>
          </rPr>
          <t>The paper is a geology/geomorphology study on lineament mapping and tectonic control of drainage; the term 'vector databases' refers to GIS vector data layers (shapefiles of lineaments), not to vector databases for similarity search or nearest-neighbor retrieval, making it entirely unrelated to the survey topic.</t>
        </r>
      </text>
    </comment>
    <comment ref="J3" authorId="0" shapeId="0" xr:uid="{34A3136E-8D8B-4BD8-B04E-940A332A6055}">
      <text>
        <r>
          <rPr>
            <sz val="9"/>
            <color indexed="81"/>
            <rFont val="Segoe UI"/>
            <charset val="1"/>
          </rPr>
          <t>Investigation of whether linear natural features (lineaments) in northwestern Minas Gerais State, Brazil, are associated with structural or tectonic control of landforms and current drainage patterns at regional and local scales.</t>
        </r>
      </text>
    </comment>
    <comment ref="K3" authorId="0" shapeId="0" xr:uid="{293C2219-7B91-42A1-B31C-B031DCD9A688}">
      <text>
        <r>
          <rPr>
            <sz val="9"/>
            <color indexed="81"/>
            <rFont val="Segoe UI"/>
            <charset val="1"/>
          </rPr>
          <t>Manual mapping of over 1,700 lineaments from a Landsat-8 satellite image, three digital elevation models (SRTM, ASTER, ALOS), and digitized analog geologic and topographic maps, integrated in a Geographic Information System for quantitative and spatial analysis, followed by field assessments.</t>
        </r>
      </text>
    </comment>
    <comment ref="N3" authorId="0" shapeId="0" xr:uid="{1ED65C8E-BECF-41A6-85CC-C656CB7806A5}">
      <text>
        <r>
          <rPr>
            <sz val="9"/>
            <color indexed="81"/>
            <rFont val="Segoe UI"/>
            <charset val="1"/>
          </rPr>
          <t>Geology and geomorphology: lineament mapping, structural analysis, and drainage pattern interpretation in the São Francisco Craton region of Brazil.</t>
        </r>
      </text>
    </comment>
    <comment ref="O3" authorId="0" shapeId="0" xr:uid="{241B824D-22A8-4BB3-92DF-432B4FCB5083}">
      <text>
        <r>
          <rPr>
            <sz val="9"/>
            <color indexed="81"/>
            <rFont val="Segoe UI"/>
            <charset val="1"/>
          </rPr>
          <t>The study mapped 1,721 lineaments totaling 20,797 km in the Paracatu and Urucuia River catchments using multi-source remote sensing and GIS integration. Two main trending lineament sets were identified: NNW-SSE (correlated to Upper Precambrian reverse and strike-slip faults at the São Francisco Craton/Brasília Mobile Belt contact) and NE-SW (correlated to Mesozoic-Cenozoic normal faults). Lineament density analysis revealed a positive correlation with altitude, with highest densities in elevated, freshly denudated areas. Field assessments confirmed that major crustal fault systems controlled long-term geomorphological dynamics and drainage patterns, with the longest river courses fitting the older NNW-SSE direction and shorter channels adapting to the Meso-Cenozoic NE-SW structures.</t>
        </r>
      </text>
    </comment>
    <comment ref="H4" authorId="0" shapeId="0" xr:uid="{FEADB316-AD57-4118-9514-4964C7CB7DA1}">
      <text>
        <r>
          <rPr>
            <sz val="9"/>
            <color indexed="81"/>
            <rFont val="Segoe UI"/>
            <charset val="1"/>
          </rPr>
          <t>Enhancing Geological Knowledge Engineering with Retrieval-Augmented Generation: A Case Study of the Qin–Hang Metallogenic Belt</t>
        </r>
      </text>
    </comment>
    <comment ref="I4" authorId="0" shapeId="0" xr:uid="{6901C50B-D0BF-4BF6-8A3A-AC44FAD69ACC}">
      <text>
        <r>
          <rPr>
            <sz val="9"/>
            <color indexed="81"/>
            <rFont val="Segoe UI"/>
            <charset val="1"/>
          </rPr>
          <t>The paper is primarily about applying a RAG pipeline to geological knowledge engineering in the metallogenic domain. FAISS is mentioned only as a tool for embedding the corpus into a vector database, with no discussion of vector database technology, indexing methods, or system comparisons.</t>
        </r>
      </text>
    </comment>
    <comment ref="J4" authorId="0" shapeId="0" xr:uid="{B857C781-84DF-411B-A1DB-9974927FF4A6}">
      <text>
        <r>
          <rPr>
            <sz val="9"/>
            <color indexed="81"/>
            <rFont val="Segoe UI"/>
            <charset val="1"/>
          </rPr>
          <t>Developing a domain-adapted retrieval-augmented generation (RAG) pipeline for intelligent question answering in the metallogenic domain, specifically for the Qin-Hang Metallogenic Belt in South China, by integrating geological knowledge with a large language model.</t>
        </r>
      </text>
    </comment>
    <comment ref="K4" authorId="0" shapeId="0" xr:uid="{09E21D2F-384C-430D-B869-83276FEFA8A3}">
      <text>
        <r>
          <rPr>
            <sz val="9"/>
            <color indexed="81"/>
            <rFont val="Segoe UI"/>
            <charset val="1"/>
          </rPr>
          <t>Construction of a bilingual QA corpus from 615 geological publications, embedding the corpus into a semantic vector database using Sentence-BERT and FAISS, and integrating it with the ChatGLM3-6B model via the LangChain framework to enable dynamic retrieval and grounded response generation. Performance is evaluated using BLEU, precision, recall, and F1 metrics against baseline LLMs.</t>
        </r>
      </text>
    </comment>
    <comment ref="L4" authorId="0" shapeId="0" xr:uid="{6C480B16-5733-4328-9F06-C5AC78603267}">
      <text>
        <r>
          <rPr>
            <sz val="9"/>
            <color indexed="81"/>
            <rFont val="Segoe UI"/>
            <charset val="1"/>
          </rPr>
          <t>FAISS; ChatGLM3-6B; LangChain; Sentence-BERT; ChatGPT-4; Bing; Gemini; GeoGPT; SkyGPT; K2; GeoGalactica; GeoDeepDive; GeoAI; SeisBench; BloombergGPT; FinGPT; MedPaLM; HuatuoGPT; BenTsao; SciBERT; Neo4j</t>
        </r>
      </text>
    </comment>
    <comment ref="N4" authorId="0" shapeId="0" xr:uid="{AD0F429E-AA5A-47F2-8251-806D2D52AB63}">
      <text>
        <r>
          <rPr>
            <sz val="9"/>
            <color indexed="81"/>
            <rFont val="Segoe UI"/>
            <charset val="1"/>
          </rPr>
          <t>Geological knowledge engineering and metallogenic question answering (Qin-Hang Metallogenic Belt, South China)</t>
        </r>
      </text>
    </comment>
    <comment ref="O4" authorId="0" shapeId="0" xr:uid="{3C790AE9-7723-49A2-A8C8-075BCABE9C32}">
      <text>
        <r>
          <rPr>
            <sz val="9"/>
            <color indexed="81"/>
            <rFont val="Segoe UI"/>
            <charset val="1"/>
          </rPr>
          <t>The paper constructs a bilingual QA corpus from 615 geological publications and embeds it into a FAISS-based vector database using Sentence-BERT embeddings, then integrates it with ChatGLM3-6B via LangChain for RAG-enhanced question answering. The RAG-enhanced model achieves an F1 score of 0.8689, outperforming the base model (0.7969) and general-purpose LLMs including ChatGPT-4 (0.8514), Bing (0.8298), and Gemini (0.8146). The results demonstrate that integrating a specialized geological knowledge base with RAG significantly improves domain-specific generation quality and content coverage. The authors conclude that this approach effectively addresses the limitations of general LLMs in specialized geological domains. All datasets and code are openly released for reproducibility.</t>
        </r>
      </text>
    </comment>
    <comment ref="P4" authorId="0" shapeId="0" xr:uid="{F4356B22-D6A7-4FDA-B8A1-8A5B98CF22C0}">
      <text>
        <r>
          <rPr>
            <sz val="9"/>
            <color indexed="81"/>
            <rFont val="Segoe UI"/>
            <charset val="1"/>
          </rPr>
          <t>The knowledge base remains limited in scope and does not comprehensively cover all geological characteristics, mineralization processes, and regional evolution of the belt; Knowledge base construction relies mainly on publicly available data and literature, lacking expert-validated ontologies or structured domain knowledge; The knowledge base is statically constructed, lacking mechanisms for automated updates from ongoing geological research; The system does not support multimodal inputs such as geological maps, stratigraphic sections, or remote sensing imagery; Automated evaluation metrics (BLEU, precision, recall, F1) may not fully capture the depth of professionalism and practical applicability required in specialized geological domains</t>
        </r>
      </text>
    </comment>
    <comment ref="Q4" authorId="0" shapeId="0" xr:uid="{152029C1-914B-47C3-8265-3780938E531E}">
      <text>
        <r>
          <rPr>
            <sz val="9"/>
            <color indexed="81"/>
            <rFont val="Segoe UI"/>
            <charset val="1"/>
          </rPr>
          <t>Expanding the knowledge base's breadth and depth to more comprehensively cover the Qin-Hang belt; Developing an automatically updated knowledge base to keep pace with ongoing geological research; Incorporating multimodal data such as geological maps and remote sensing images to enrich interpretive capabilities; Integrating expert knowledge graphs into the RAG pipeline; Testing the system's adaptability to other metallogenic zones; Incorporating human expert assessments for a more comprehensive evaluation of domain-specific performance; Refining the integration between the knowledge base and the generative model for complex domains</t>
        </r>
      </text>
    </comment>
  </commentList>
</comments>
</file>

<file path=xl/sharedStrings.xml><?xml version="1.0" encoding="utf-8"?>
<sst xmlns="http://schemas.openxmlformats.org/spreadsheetml/2006/main" count="63" uniqueCount="57">
  <si>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</si>
  <si>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</si>
  <si>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</si>
  <si>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</si>
  <si>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</si>
  <si>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</si>
  <si>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</si>
  <si>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</si>
  <si>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</si>
  <si>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</si>
  <si>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</si>
  <si>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</si>
  <si>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</si>
  <si>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</si>
  <si>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</si>
  <si>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</si>
  <si>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</si>
  <si>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</si>
  <si>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W3212666740</t>
  </si>
  <si>
    <t>W4379511221</t>
  </si>
  <si>
    <t>W4414544382</t>
  </si>
  <si>
    <t>https://openalex.org/works/W3212666740</t>
  </si>
  <si>
    <t>https://openalex.org/works/W4379511221</t>
  </si>
  <si>
    <t>https://openalex.org/works/W4414544382</t>
  </si>
  <si>
    <t>C:\Users\Dominik\Documents\arm\pdf\open_access\W3212666740.pdf</t>
  </si>
  <si>
    <t>C:\Users\Dominik\Documents\arm\pdf\open_access\W4379511221.pdf</t>
  </si>
  <si>
    <t>C:\Users\Dominik\Documents\arm\pdf\open_access\W4414544382.pdf</t>
  </si>
  <si>
    <t>True</t>
  </si>
  <si>
    <t>2021-11-11</t>
  </si>
  <si>
    <t>2023-06-05</t>
  </si>
  <si>
    <t>2025-09-26</t>
  </si>
  <si>
    <t>low</t>
  </si>
  <si>
    <t>Evaluating the use of the landslide database in spatial planning in mountain communes (the Polish Carpathians)</t>
  </si>
  <si>
    <t>Morphotectonic and morphostructural investigation in northwestern Minas Gerais State, Brazil: a lineament mapping assessment</t>
  </si>
  <si>
    <t>Enhancing Geological Knowledge Engineering with Retrieval-Augmented Generation: A Case Study of the Qin–Hang Metallogenic Belt</t>
  </si>
  <si>
    <t>The paper uses the term 'vector databases' in the GIS sense (spatial vector data for landslide mapping), not in the sense of vector databases for high-dimensional similarity search or nearest neighbor search. The paper is entirely about landslide hazard assessment and spatial planning, with no connection to vector indexing, ANN search, or vector database technology.</t>
  </si>
  <si>
    <t>The paper is a geology/geomorphology study on lineament mapping and tectonic control of drainage; the term 'vector databases' refers to GIS vector data layers (shapefiles of lineaments), not to vector databases for similarity search or nearest-neighbor retrieval, making it entirely unrelated to the survey topic.</t>
  </si>
  <si>
    <t>The paper is primarily about applying a RAG pipeline to geological knowledge engineering in the metallogenic domain. FAISS is mentioned only as a tool for embedding the corpus into a vector database, with no discussion of vector database technology, indexing methods, or system comparisons.</t>
  </si>
  <si>
    <t>Evaluating the use of a landslide database (SOPO) in local spatial planning in mountain communes of the Polish Carpathians, specifically examining the co-occurrence of landslides and residential/economic development areas in 14 selected communes.</t>
  </si>
  <si>
    <t>Investigation of whether linear natural features (lineaments) in northwestern Minas Gerais State, Brazil, are associated with structural or tectonic control of landforms and current drainage patterns at regional and local scales.</t>
  </si>
  <si>
    <t>Developing a domain-adapted retrieval-augmented generation (RAG) pipeline for intelligent question answering in the metallogenic domain, specifically for the Qin-Hang Metallogenic Belt in South China, by integrating geological knowledge with a large language model.</t>
  </si>
  <si>
    <t>Spatial analysis combining the SOPO landslide database with local spatial development plans (LSDP), building location data (BDOT), and planning coverage data to assess the extent of landslides in development zones and identify planning deficiencies across 14 communes in the Małopolskie and Podkarpackie voivodships.</t>
  </si>
  <si>
    <t>Manual mapping of over 1,700 lineaments from a Landsat-8 satellite image, three digital elevation models (SRTM, ASTER, ALOS), and digitized analog geologic and topographic maps, integrated in a Geographic Information System for quantitative and spatial analysis, followed by field assessments.</t>
  </si>
  <si>
    <t>Construction of a bilingual QA corpus from 615 geological publications, embedding the corpus into a semantic vector database using Sentence-BERT and FAISS, and integrating it with the ChatGLM3-6B model via the LangChain framework to enable dynamic retrieval and grounded response generation. Performance is evaluated using BLEU, precision, recall, and F1 metrics against baseline LLMs.</t>
  </si>
  <si>
    <t>SOPO (Landslide Counteracting System); BDOT (Database of Topographic Objects); Geo-System</t>
  </si>
  <si>
    <t>FAISS; ChatGLM3-6B; LangChain; Sentence-BERT; ChatGPT-4; Bing; Gemini; GeoGPT; SkyGPT; K2; GeoGalactica; GeoDeepDive; GeoAI; SeisBench; BloombergGPT; FinGPT; MedPaLM; HuatuoGPT; BenTsao; SciBERT; Neo4j</t>
  </si>
  <si>
    <t>Landslide hazard assessment and spatial planning in mountainous regions (Polish Carpathians)</t>
  </si>
  <si>
    <t>Geology and geomorphology: lineament mapping, structural analysis, and drainage pattern interpretation in the São Francisco Craton region of Brazil.</t>
  </si>
  <si>
    <t>Geological knowledge engineering and metallogenic question answering (Qin-Hang Metallogenic Belt, South China)</t>
  </si>
  <si>
    <t>The study examined 14 communes in the Polish Carpathians and found that 1-23% of commune area is affected by landslides, with up to 11% of designated development areas (M1-3) located on landslide zones. Approximately 722 buildings were recorded in development areas occupied by landslides, and 10-23% of gross floor area in 17 communes was located in landslide areas. The analysis revealed that even after the SOPO database was established, spatial planning quality did not improve, with similar percentages of development areas on landslides in communes with plans created before and after SOPO. The authors conclude that Polish spatial planning is faulty in the majority of analyzed communes and recommend statutory bans on development in active landslide areas, improved data dissemination, and public awareness campaigns.</t>
  </si>
  <si>
    <t>The study mapped 1,721 lineaments totaling 20,797 km in the Paracatu and Urucuia River catchments using multi-source remote sensing and GIS integration. Two main trending lineament sets were identified: NNW-SSE (correlated to Upper Precambrian reverse and strike-slip faults at the São Francisco Craton/Brasília Mobile Belt contact) and NE-SW (correlated to Mesozoic-Cenozoic normal faults). Lineament density analysis revealed a positive correlation with altitude, with highest densities in elevated, freshly denudated areas. Field assessments confirmed that major crustal fault systems controlled long-term geomorphological dynamics and drainage patterns, with the longest river courses fitting the older NNW-SSE direction and shorter channels adapting to the Meso-Cenozoic NE-SW structures.</t>
  </si>
  <si>
    <t>The paper constructs a bilingual QA corpus from 615 geological publications and embeds it into a FAISS-based vector database using Sentence-BERT embeddings, then integrates it with ChatGLM3-6B via LangChain for RAG-enhanced question answering. The RAG-enhanced model achieves an F1 score of 0.8689, outperforming the base model (0.7969) and general-purpose LLMs including ChatGPT-4 (0.8514), Bing (0.8298), and Gemini (0.8146). The results demonstrate that integrating a specialized geological knowledge base with RAG significantly improves domain-specific generation quality and content coverage. The authors conclude that this approach effectively addresses the limitations of general LLMs in specialized geological domains. All datasets and code are openly released for reproducibility.</t>
  </si>
  <si>
    <t>The study covers only 14 selected communes out of 201 in the region, limiting generalizability; LSDPs are not always developed for the total area of the commune, making the landslide rate in development zones potentially variable; The analysis of communes with LSDPs created after SOPO is limited to only 3 out of 14 communes; No statistically significant differences were found in the share of M1-3 areas occupied by landslides between pre- and post-SOPO planning periods</t>
  </si>
  <si>
    <t>The knowledge base remains limited in scope and does not comprehensively cover all geological characteristics, mineralization processes, and regional evolution of the belt; Knowledge base construction relies mainly on publicly available data and literature, lacking expert-validated ontologies or structured domain knowledge; The knowledge base is statically constructed, lacking mechanisms for automated updates from ongoing geological research; The system does not support multimodal inputs such as geological maps, stratigraphic sections, or remote sensing imagery; Automated evaluation metrics (BLEU, precision, recall, F1) may not fully capture the depth of professionalism and practical applicability required in specialized geological domains</t>
  </si>
  <si>
    <t>Need for a new methodology for proper spatial planning in Poland that incorporates landslide hazard data; Need for reclassification of landslides beyond the current three-category system (active, periodically active, inactive); Need for statutory bans on development in the most active and dangerous landslide areas; Need for wider dissemination of landslide data and maps to local communities; Need for educational initiatives and information campaigns to raise landslide awareness among local communities</t>
  </si>
  <si>
    <t>Expanding the knowledge base's breadth and depth to more comprehensively cover the Qin-Hang belt; Developing an automatically updated knowledge base to keep pace with ongoing geological research; Incorporating multimodal data such as geological maps and remote sensing images to enrich interpretive capabilities; Integrating expert knowledge graphs into the RAG pipeline; Testing the system's adaptability to other metallogenic zones; Incorporating human expert assessments for a more comprehensive evaluation of domain-specific performance; Refining the integration between the knowledge base and the generative model for complex domains</t>
  </si>
  <si>
    <t>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</si>
</sst>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6">
    <dxf>
      <fill>
        <patternFill>
          <bgColor rgb="FFFFFF96"/>
        </patternFill>
      </fill>
    </dxf>
    <dxf>
      <fill>
        <patternFill>
          <bgColor rgb="FFC6E0B4"/>
        </patternFill>
      </fill>
    </dxf>
    <dxf>
      <fill>
        <patternFill>
          <bgColor rgb="FFFF8282"/>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openalex.org/works/W4414544382" TargetMode="External"/><Relationship Id="rId2" Type="http://schemas.openxmlformats.org/officeDocument/2006/relationships/hyperlink" Target="https://openalex.org/works/W4379511221" TargetMode="External"/><Relationship Id="rId1" Type="http://schemas.openxmlformats.org/officeDocument/2006/relationships/hyperlink" Target="https://openalex.org/works/W321266674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5" sqref="R5"/>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21</v>
      </c>
      <c r="C2" s="2" t="s">
        <v>24</v>
      </c>
      <c r="D2" s="2" t="s">
        <v>27</v>
      </c>
      <c r="E2" s="2">
        <v>14</v>
      </c>
      <c r="F2" s="2" t="s">
        <v>28</v>
      </c>
      <c r="G2" s="2" t="s">
        <v>31</v>
      </c>
      <c r="H2" s="4" t="s">
        <v>32</v>
      </c>
      <c r="I2" s="4" t="s">
        <v>35</v>
      </c>
      <c r="J2" s="4" t="s">
        <v>38</v>
      </c>
      <c r="K2" s="4" t="s">
        <v>41</v>
      </c>
      <c r="L2" s="4" t="s">
        <v>44</v>
      </c>
      <c r="M2" s="4"/>
      <c r="N2" s="4" t="s">
        <v>46</v>
      </c>
      <c r="O2" s="4" t="s">
        <v>49</v>
      </c>
      <c r="P2" s="4" t="s">
        <v>52</v>
      </c>
      <c r="Q2" s="4" t="s">
        <v>54</v>
      </c>
      <c r="R2" s="2" t="s">
        <v>56</v>
      </c>
      <c r="S2" s="6" t="str">
        <f>HYPERLINK(B2,"link")</f>
        <v>link</v>
      </c>
      <c r="T2" s="6" t="str">
        <f>HYPERLINK(C2,"pdf")</f>
        <v>pdf</v>
      </c>
    </row>
    <row r="3" spans="1:20" x14ac:dyDescent="0.25">
      <c r="A3" s="2" t="s">
        <v>19</v>
      </c>
      <c r="B3" s="3" t="s">
        <v>22</v>
      </c>
      <c r="C3" s="2" t="s">
        <v>25</v>
      </c>
      <c r="D3" s="2" t="s">
        <v>27</v>
      </c>
      <c r="E3" s="2">
        <v>1</v>
      </c>
      <c r="F3" s="2" t="s">
        <v>29</v>
      </c>
      <c r="G3" s="2" t="s">
        <v>31</v>
      </c>
      <c r="H3" s="4" t="s">
        <v>33</v>
      </c>
      <c r="I3" s="4" t="s">
        <v>36</v>
      </c>
      <c r="J3" s="4" t="s">
        <v>39</v>
      </c>
      <c r="K3" s="4" t="s">
        <v>42</v>
      </c>
      <c r="L3" s="4"/>
      <c r="M3" s="4"/>
      <c r="N3" s="4" t="s">
        <v>47</v>
      </c>
      <c r="O3" s="4" t="s">
        <v>50</v>
      </c>
      <c r="P3" s="4"/>
      <c r="Q3" s="4"/>
      <c r="R3" s="2" t="s">
        <v>56</v>
      </c>
      <c r="S3" s="6" t="str">
        <f t="shared" ref="S3:S4" si="0">HYPERLINK(B3,"link")</f>
        <v>link</v>
      </c>
      <c r="T3" s="6" t="str">
        <f t="shared" ref="T3:T4" si="1">HYPERLINK(C3,"pdf")</f>
        <v>pdf</v>
      </c>
    </row>
    <row r="4" spans="1:20" x14ac:dyDescent="0.25">
      <c r="A4" s="2" t="s">
        <v>20</v>
      </c>
      <c r="B4" s="3" t="s">
        <v>23</v>
      </c>
      <c r="C4" s="2" t="s">
        <v>26</v>
      </c>
      <c r="D4" s="2" t="s">
        <v>27</v>
      </c>
      <c r="E4" s="2">
        <v>1</v>
      </c>
      <c r="F4" s="2" t="s">
        <v>30</v>
      </c>
      <c r="G4" s="2" t="s">
        <v>31</v>
      </c>
      <c r="H4" s="4" t="s">
        <v>34</v>
      </c>
      <c r="I4" s="4" t="s">
        <v>37</v>
      </c>
      <c r="J4" s="4" t="s">
        <v>40</v>
      </c>
      <c r="K4" s="4" t="s">
        <v>43</v>
      </c>
      <c r="L4" s="4" t="s">
        <v>45</v>
      </c>
      <c r="M4" s="4"/>
      <c r="N4" s="4" t="s">
        <v>48</v>
      </c>
      <c r="O4" s="4" t="s">
        <v>51</v>
      </c>
      <c r="P4" s="4" t="s">
        <v>53</v>
      </c>
      <c r="Q4" s="4" t="s">
        <v>55</v>
      </c>
      <c r="R4" s="2" t="s">
        <v>56</v>
      </c>
      <c r="S4" s="6" t="str">
        <f t="shared" si="0"/>
        <v>link</v>
      </c>
      <c r="T4" s="6" t="str">
        <f t="shared" si="1"/>
        <v>pdf</v>
      </c>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4">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000-000000000000}"/>
    <hyperlink ref="B3" r:id="rId2" xr:uid="{00000000-0004-0000-0000-000001000000}"/>
    <hyperlink ref="B4" r:id="rId3" xr:uid="{00000000-0004-0000-0000-000002000000}"/>
  </hyperlinks>
  <pageMargins left="0.7" right="0.7" top="0.75" bottom="0.75" header="0.3" footer="0.3"/>
  <legacy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Case-Study_Application-Paper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2026-10-09T15:00:37Z</dcterms:modified>
</cp:coreProperties>
</file>
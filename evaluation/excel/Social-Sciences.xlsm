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430" codeName="{82680DD9-3F13-7979-5B5F-3D2375947C00}"/>
  <workbookPr codeName="DieseArbeitsmappe" defaultThemeVersion="124226"/>
  <mc:AlternateContent xmlns:mc="http://schemas.openxmlformats.org/markup-compatibility/2006">
    <mc:Choice Requires="x15">
      <x15ac:absPath xmlns:x15ac="http://schemas.microsoft.com/office/spreadsheetml/2010/11/ac" url="C:\Users\Dominik\Documents\arm\evaluation\excel\"/>
    </mc:Choice>
  </mc:AlternateContent>
  <xr:revisionPtr revIDLastSave="0" documentId="13_ncr:1_{07ABD892-A608-4861-854C-82B39E6A92F4}" xr6:coauthVersionLast="47" xr6:coauthVersionMax="47" xr10:uidLastSave="{00000000-0000-0000-0000-000000000000}"/>
  <bookViews>
    <workbookView xWindow="-120" yWindow="-120" windowWidth="38640" windowHeight="21120" xr2:uid="{00000000-000D-0000-FFFF-FFFF00000000}"/>
  </bookViews>
  <sheets>
    <sheet name="Case-Study_Application-Paper" sheetId="1" r:id="rId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3" i="1" l="1"/>
  <c r="T4" i="1"/>
  <c r="T5" i="1"/>
  <c r="T6" i="1"/>
  <c r="S3" i="1"/>
  <c r="S4" i="1"/>
  <c r="S5" i="1"/>
  <c r="S6" i="1"/>
  <c r="T2" i="1"/>
  <c r="S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94EED094-E4FF-41BC-8A5A-B9DF655F8537}">
      <text>
        <r>
          <rPr>
            <sz val="14"/>
            <color indexed="81"/>
            <rFont val="Segoe UI"/>
            <family val="2"/>
          </rPr>
          <t>GenAI-Assisted Database Deployment for Heterogeneous Indigenous–Native Ethnographic Research Data</t>
        </r>
      </text>
    </comment>
    <comment ref="I2" authorId="0" shapeId="0" xr:uid="{92259168-0BD6-43E8-827B-8F873302EECA}">
      <text>
        <r>
          <rPr>
            <sz val="14"/>
            <color indexed="81"/>
            <rFont val="Segoe UI"/>
            <family val="2"/>
          </rPr>
          <t>Vector databases are discussed as one of six database types and two specific methods of vector database support (self-trained models vs. commercial APIs) are examined with concrete examples of limitations, but the main subject is the broader database technology comparison for ethnographic research data and GenAI-assisted data transformation, not vector databases themselves.</t>
        </r>
      </text>
    </comment>
    <comment ref="J2" authorId="0" shapeId="0" xr:uid="{270C31F9-6A1D-4607-862A-1D383B54AB4B}">
      <text>
        <r>
          <rPr>
            <sz val="14"/>
            <color indexed="81"/>
            <rFont val="Segoe UI"/>
            <family val="2"/>
          </rPr>
          <t>Investigating which database technologies (relational, key-value NoSQL, graph, document, object-oriented, and vector databases) are best suited for storing heterogeneous indigenous ethnographic research data, and proposing GenAI-assisted methods to facilitate the data transformation process.</t>
        </r>
      </text>
    </comment>
    <comment ref="K2" authorId="0" shapeId="0" xr:uid="{C7F5B7EB-18A5-436F-AA4E-1AF0CA85615D}">
      <text>
        <r>
          <rPr>
            <sz val="14"/>
            <color indexed="81"/>
            <rFont val="Segoe UI"/>
            <family val="2"/>
          </rPr>
          <t>The paper compares six database categories for ethnographic data storage based on actual construction experience, and proposes two GenAI-assisted methods for vector database support: (1) generating vector embeddings through self-trained models and (2) using commercial services like the OpenAI API. The comparison is grounded in the specific needs of indigenous language data (e.g., Paiwan language) and complex relational structures in ethnographic surveys.</t>
        </r>
      </text>
    </comment>
    <comment ref="L2" authorId="0" shapeId="0" xr:uid="{515A61D3-9A1C-4D5A-873A-7F3E5B5650E4}">
      <text>
        <r>
          <rPr>
            <sz val="14"/>
            <color indexed="81"/>
            <rFont val="Segoe UI"/>
            <family val="2"/>
          </rPr>
          <t>OpenAI API; ChatGPT 4o; text-embedding-ada-002</t>
        </r>
      </text>
    </comment>
    <comment ref="N2" authorId="0" shapeId="0" xr:uid="{42D58B38-85B1-457E-BD46-E1520737155A}">
      <text>
        <r>
          <rPr>
            <sz val="14"/>
            <color indexed="81"/>
            <rFont val="Segoe UI"/>
            <family val="2"/>
          </rPr>
          <t>Ethnographic research data management, indigenous language data (Paiwan language), sociology and anthropology fieldwork data</t>
        </r>
      </text>
    </comment>
    <comment ref="O2" authorId="0" shapeId="0" xr:uid="{143318E7-B676-47C4-85BA-B4629D907991}">
      <text>
        <r>
          <rPr>
            <sz val="14"/>
            <color indexed="81"/>
            <rFont val="Segoe UI"/>
            <family val="2"/>
          </rPr>
          <t>The paper found that NoSQL databases, particularly document and graph databases, are the most appropriate for heterogeneous ethnographic data due to their flexibility and ability to handle complex relationships. For vector databases, self-trained embedding models showed better results for indigenous languages but required considerable computational resources, while commercial APIs like OpenAI produced quick results but had poor accuracy for indigenous linguistic data, failing to recognize culturally specific concepts. Both vector database approaches shared a common issue of data contamination through the embedding feedback mechanism, with residual effects persisting even after contaminated data removal. The overall evaluation of vector databases was deemed incomplete, underscoring the need for further technological development to address these challenges in the context of indigenous language data.</t>
        </r>
      </text>
    </comment>
    <comment ref="P2" authorId="0" shapeId="0" xr:uid="{6E220B2D-4993-4D4A-A621-FBDD032C72C0}">
      <text>
        <r>
          <rPr>
            <sz val="14"/>
            <color indexed="81"/>
            <rFont val="Segoe UI"/>
            <family val="2"/>
          </rPr>
          <t>Converting contents into vector data remains challenging, especially in regions with unique oral traditions and languages; Constructing databases is labor-intensive and requires domain experts to define metadata and relationships; Self-trained embedding models require considerable computational resources and high hardware construction costs; Commercial services like OpenAI API have poor accuracy for indigenous linguistic data due to primarily English training data; Each data insertion and retrieval via commercial APIs incurs extra costs, creating a financial burden for long-term operations; Data contamination through the vector embedding feedback mechanism, with residual effects remaining even after contaminated data are removed</t>
        </r>
      </text>
    </comment>
    <comment ref="Q2" authorId="0" shapeId="0" xr:uid="{622857A4-2B5B-4883-A15C-07008093DBA3}">
      <text>
        <r>
          <rPr>
            <sz val="14"/>
            <color indexed="81"/>
            <rFont val="Segoe UI"/>
            <family val="2"/>
          </rPr>
          <t>Need for further technological development to tackle data contamination challenges in vector databases; Need to design a knowledge base for GenAI to use as a benchmark to prevent generated relations from diverging too broadly in graph databases; Need for custom models or adapted models to better capture linguistic nuances and cultural contexts specific to indigenous languages; The overall evaluation of vector databases for indigenous language applications is deemed incomplete</t>
        </r>
      </text>
    </comment>
    <comment ref="H3" authorId="0" shapeId="0" xr:uid="{22AF66AC-39C4-4C39-B86A-26F10D7F0A04}">
      <text>
        <r>
          <rPr>
            <sz val="14"/>
            <color indexed="81"/>
            <rFont val="Segoe UI"/>
            <family val="2"/>
          </rPr>
          <t>Sustainability in Leadership: The Implicit Associations of the First-Person Pronouns and Leadership Effectiveness Based on Word Embedding Association Test</t>
        </r>
      </text>
    </comment>
    <comment ref="I3" authorId="0" shapeId="0" xr:uid="{7CD0C907-53FD-4E10-A1B8-C733CBE9F065}">
      <text>
        <r>
          <rPr>
            <sz val="14"/>
            <color indexed="81"/>
            <rFont val="Segoe UI"/>
            <family val="2"/>
          </rPr>
          <t>The paper is about leadership effectiveness and linguistic associations, using pre-trained word embeddings and cosine similarity as a measurement tool; vector databases as a technology (indexing, similarity search infrastructure) are neither discussed nor the subject of the paper.</t>
        </r>
      </text>
    </comment>
    <comment ref="J3" authorId="0" shapeId="0" xr:uid="{821BB5F8-73DB-416E-B1DF-6B1D83097C89}">
      <text>
        <r>
          <rPr>
            <sz val="14"/>
            <color indexed="81"/>
            <rFont val="Segoe UI"/>
            <family val="2"/>
          </rPr>
          <t>The implicit association between first-person pronouns ('I' vs. 'we') and leadership effectiveness, measured using the Word Embedding Association Test (WEAT) in both Chinese and English linguistic contexts.</t>
        </r>
      </text>
    </comment>
    <comment ref="K3" authorId="0" shapeId="0" xr:uid="{8594781E-9D02-414D-A26B-8E3DE1872752}">
      <text>
        <r>
          <rPr>
            <sz val="14"/>
            <color indexed="81"/>
            <rFont val="Segoe UI"/>
            <family val="2"/>
          </rPr>
          <t>Word Embedding Association Test (WEAT) computing cosine similarity between word vectors (from BNU and Google News word vector databases) and sentence vectors (from a Chinese Wikipedia BERT model) to quantify the implicit semantic association between first-person pronouns and leadership effectiveness.</t>
        </r>
      </text>
    </comment>
    <comment ref="N3" authorId="0" shapeId="0" xr:uid="{248000C4-D776-4427-8296-9E0D6FB6DA72}">
      <text>
        <r>
          <rPr>
            <sz val="14"/>
            <color indexed="81"/>
            <rFont val="Segoe UI"/>
            <family val="2"/>
          </rPr>
          <t>Organizational behavior and leadership research; NLP-based measurement of implicit linguistic associations</t>
        </r>
      </text>
    </comment>
    <comment ref="O3" authorId="0" shapeId="0" xr:uid="{06804809-0607-449D-AF6D-E1F239E33D67}">
      <text>
        <r>
          <rPr>
            <sz val="14"/>
            <color indexed="81"/>
            <rFont val="Segoe UI"/>
            <family val="2"/>
          </rPr>
          <t>The paper applied WEAT to measure the implicit semantic association between first-person pronouns and leadership effectiveness. Word vector analyses from both the BNU and Google News databases showed that the cosine similarity of 'we-leadership effectiveness' was significantly higher than 'I-leadership effectiveness' in both Chinese and English contexts. Sentence vector analysis using a BERT model further corroborated this finding with a larger effect size. The results suggest that leaders who preferentially use 'we' are implicitly perceived as more effective, and that this association holds cross-culturally. The study also demonstrated the feasibility of WEAT as an alternative to traditional scale-based measurement of organizational behavioral variables.</t>
        </r>
      </text>
    </comment>
    <comment ref="P3" authorId="0" shapeId="0" xr:uid="{AE200468-C62E-4131-81B0-CD7333C5E494}">
      <text>
        <r>
          <rPr>
            <sz val="14"/>
            <color indexed="81"/>
            <rFont val="Segoe UI"/>
            <family val="2"/>
          </rPr>
          <t>Only Chinese and English language regions were considered; results may not generalize to other languages.; Demographic and personality information of users could not be collected, limiting analysis to specific groups.; Online big data measurements do not capture real offline behavior, introducing potential contextual bias.; The word vector databases were trained on filtered news media texts, which may contain tendencies that do not reflect the true psychology of the population.; The study focused on group-level perceptions and did not explore individual leader-level factors or situational/task-specific differences.</t>
        </r>
      </text>
    </comment>
    <comment ref="Q3" authorId="0" shapeId="0" xr:uid="{CB9BFAEB-6573-418B-BAF2-FB4A1445D0CA}">
      <text>
        <r>
          <rPr>
            <sz val="14"/>
            <color indexed="81"/>
            <rFont val="Segoe UI"/>
            <family val="2"/>
          </rPr>
          <t>Collect data for different languages and groups in specific scenarios to build a more complete analytical model.; Collect more data on users' personal statements and social media data to validate findings in spontaneous messages.; Investigate individual leader-level factors, including the mismatch between implicit perceptions and explicit behaviors.; Examine how different first-person pronoun usage in different task scenarios affects leadership effectiveness.</t>
        </r>
      </text>
    </comment>
    <comment ref="H4" authorId="0" shapeId="0" xr:uid="{3F1C9101-0D91-4E61-97D5-5FC80B5EA202}">
      <text>
        <r>
          <rPr>
            <sz val="14"/>
            <color indexed="81"/>
            <rFont val="Segoe UI"/>
            <family val="2"/>
          </rPr>
          <t>Design and Prototype of a Chatbot for Public Participation in Major Infrastructure Projects</t>
        </r>
      </text>
    </comment>
    <comment ref="I4" authorId="0" shapeId="0" xr:uid="{CC2107CA-D2DF-4895-9C82-7D86D9794836}">
      <text>
        <r>
          <rPr>
            <sz val="14"/>
            <color indexed="81"/>
            <rFont val="Segoe UI"/>
            <family val="2"/>
          </rPr>
          <t>The vector database (Chroma) is used solely as a storage and retrieval component within a RAG chatbot pipeline for a public participation application; the paper does not propose, analyze, benchmark, or discuss vector database technology or indexing methods in any depth.</t>
        </r>
      </text>
    </comment>
    <comment ref="J4" authorId="0" shapeId="0" xr:uid="{056B4C49-5F54-4184-8147-63EE9A5D03EC}">
      <text>
        <r>
          <rPr>
            <sz val="14"/>
            <color indexed="81"/>
            <rFont val="Segoe UI"/>
            <family val="2"/>
          </rPr>
          <t>Developing and validating a RAG-based chatbot to improve public participation in planning approval procedures for major road and rail infrastructure projects in Germany, specifically by simplifying planning documents, finding relevant information, and answering standard questions.</t>
        </r>
      </text>
    </comment>
    <comment ref="K4" authorId="0" shapeId="0" xr:uid="{2C353B05-D67C-4F6E-8960-9FCC6A268695}">
      <text>
        <r>
          <rPr>
            <sz val="14"/>
            <color indexed="81"/>
            <rFont val="Segoe UI"/>
            <family val="2"/>
          </rPr>
          <t>Conceptual development of three use cases, prototypical implementation using a RAG architecture with a Chroma vector database storing 84 planning documents as vectors, and validation through four focus group workshops with 25 professionals from state and federal road and rail infrastructure administrations using quantitative and qualitative criteria.</t>
        </r>
      </text>
    </comment>
    <comment ref="L4" authorId="0" shapeId="0" xr:uid="{646D4314-7350-42B5-A640-C63D09020ABF}">
      <text>
        <r>
          <rPr>
            <sz val="14"/>
            <color indexed="81"/>
            <rFont val="Segoe UI"/>
            <family val="2"/>
          </rPr>
          <t>Chroma</t>
        </r>
      </text>
    </comment>
    <comment ref="M4" authorId="0" shapeId="0" xr:uid="{752E9C19-99D2-4775-804B-1E7948988FEC}">
      <text>
        <r>
          <rPr>
            <sz val="14"/>
            <color indexed="81"/>
            <rFont val="Segoe UI"/>
            <family val="2"/>
          </rPr>
          <t>angle comparison</t>
        </r>
      </text>
    </comment>
    <comment ref="N4" authorId="0" shapeId="0" xr:uid="{723CB882-963F-440B-9D5B-695D565A12A3}">
      <text>
        <r>
          <rPr>
            <sz val="14"/>
            <color indexed="81"/>
            <rFont val="Segoe UI"/>
            <family val="2"/>
          </rPr>
          <t>Public participation in infrastructure planning approval processes (road and rail) in Germany</t>
        </r>
      </text>
    </comment>
    <comment ref="O4" authorId="0" shapeId="0" xr:uid="{5AFA7F81-32A3-4C7F-A68D-0E0021EF9DBD}">
      <text>
        <r>
          <rPr>
            <sz val="14"/>
            <color indexed="81"/>
            <rFont val="Segoe UI"/>
            <family val="2"/>
          </rPr>
          <t>The paper developed a RAG-based chatbot prototype using the Chroma vector database to store 84 planning documents and an FAQ document as vectors, then validated it through four focus workshops with 25 participants. Results showed moderate to high potential for improving the participation process, with 'Answering standard questions' rated highest (mean 1.9, close to 'marked improvement'), followed by 'Finding documents' (1.8) and 'Simplification of language' (1.6). Participants confirmed that the system reduced unnecessary objections and improved comprehensibility of complex planning documents. However, concerns were raised about hallucinations, incomplete search results, and the need for stronger legal safeguards under GDPR and the EU AI Act.</t>
        </r>
      </text>
    </comment>
    <comment ref="P4" authorId="0" shapeId="0" xr:uid="{B09EBEA4-A561-406F-A762-895E65F2B1ED}">
      <text>
        <r>
          <rPr>
            <sz val="14"/>
            <color indexed="81"/>
            <rFont val="Segoe UI"/>
            <family val="2"/>
          </rPr>
          <t>Hallucination risk persists, particularly when using semantic vector search instead of keyword-based search; Document finding returned only partial results in some cases; Generated summaries were perceived as too short by some participants; The UI warning about potentially incorrect content is not a sufficient legal safeguard on its own; Legal compliance with GDPR and EU AI Act remains uncertain as the Act has not yet been transposed into national law; The chatbot's functionality was examined exclusively in German; Social acceptance and public trust in AI applications remain challenges</t>
        </r>
      </text>
    </comment>
    <comment ref="Q4" authorId="0" shapeId="0" xr:uid="{71484183-CD79-4423-8508-9C87343982C2}">
      <text>
        <r>
          <rPr>
            <sz val="14"/>
            <color indexed="81"/>
            <rFont val="Segoe UI"/>
            <family val="2"/>
          </rPr>
          <t>Introducing automated validation steps such as similarity checks between original and cleaned text passages; Improving the underlying text extraction pipeline to reduce the need for LLM-based cleaning; Investigating the chatbot's performance and applicability in other languages; Further development and testing to fully exploit the system's potential; Conducting a legal review to assess whether current safeguards adequately protect from liability; Expanding the system with additional functionalities through iterative development</t>
        </r>
      </text>
    </comment>
    <comment ref="H5" authorId="0" shapeId="0" xr:uid="{AAC7432B-19FB-4860-ADD8-6E296A83F4C5}">
      <text>
        <r>
          <rPr>
            <sz val="14"/>
            <color indexed="81"/>
            <rFont val="Segoe UI"/>
            <family val="2"/>
          </rPr>
          <t>Tracking the public perception of heat pumps: A sentiment analysis of German news articles</t>
        </r>
      </text>
    </comment>
    <comment ref="I5" authorId="0" shapeId="0" xr:uid="{1B3CB653-C55E-4CAE-BFC3-D91EA2871C84}">
      <text>
        <r>
          <rPr>
            <sz val="14"/>
            <color indexed="81"/>
            <rFont val="Segoe UI"/>
            <family val="2"/>
          </rPr>
          <t>The vector database is mentioned only as one component of the data-retrieval pipeline (semantic search with pretrained embeddings and a cross-encoder reranker) and is not examined, compared, or analyzed in any depth. The paper's subject is public perception of heat pumps in German media, not vector databases or similarity search technology.</t>
        </r>
      </text>
    </comment>
    <comment ref="J5" authorId="0" shapeId="0" xr:uid="{00516CB9-4219-4035-8282-B917F195155A}">
      <text>
        <r>
          <rPr>
            <sz val="14"/>
            <color indexed="81"/>
            <rFont val="Segoe UI"/>
            <family val="2"/>
          </rPr>
          <t>Tracking how heat pumps are portrayed in German public discourse by analyzing sentiment and thematic structure in 33,131 online news articles published between 2018 and 2023, with particular attention to the 2023 Buildings Energy Act (GEG) controversy.</t>
        </r>
      </text>
    </comment>
    <comment ref="K5" authorId="0" shapeId="0" xr:uid="{B112D60B-1FD2-4AD2-8496-F549615A7A11}">
      <text>
        <r>
          <rPr>
            <sz val="14"/>
            <color indexed="81"/>
            <rFont val="Segoe UI"/>
            <family val="2"/>
          </rPr>
          <t>A multi-step NLP pipeline: (1) semantic search in a vector database with pretrained text embeddings and a cross-encoder reranker to retrieve relevant articles from the German CommonCrawl news dataset; (2) NLI-based zero-shot sentiment classification at the article level; (3) BERTopic for topic modeling; (4) regression models linking topics and sentiment while controlling for article length, readability, media outlet, and time fixed effects.</t>
        </r>
      </text>
    </comment>
    <comment ref="L5" authorId="0" shapeId="0" xr:uid="{430AD61D-280B-47E3-90E6-13D848F95F0F}">
      <text>
        <r>
          <rPr>
            <sz val="14"/>
            <color indexed="81"/>
            <rFont val="Segoe UI"/>
            <family val="2"/>
          </rPr>
          <t>BERTopic</t>
        </r>
      </text>
    </comment>
    <comment ref="N5" authorId="0" shapeId="0" xr:uid="{B90B7869-1D68-4CC0-9497-6448E7F79E82}">
      <text>
        <r>
          <rPr>
            <sz val="14"/>
            <color indexed="81"/>
            <rFont val="Segoe UI"/>
            <family val="2"/>
          </rPr>
          <t>Energy policy and public discourse analysis (sentiment analysis of news articles on heat pump technology adoption in Germany)</t>
        </r>
      </text>
    </comment>
    <comment ref="O5" authorId="0" shapeId="0" xr:uid="{2E51F2CC-238F-4DDB-A5D7-BAA505ABD6F9}">
      <text>
        <r>
          <rPr>
            <sz val="14"/>
            <color indexed="81"/>
            <rFont val="Segoe UI"/>
            <family val="2"/>
          </rPr>
          <t>The paper compiled a corpus of 33,131 German heat pump news articles (2018–2023) and applied a scalable NLP pipeline to measure sentiment and identify topics. Results show that heat pump articles are, on average, framed more positively than the broader news landscape, but sentiment varies substantially by topic. A sharp sentiment decline occurred in early 2023 during the heating law (GEG) controversy, followed by gradual recovery. Topics such as district heating planning and heat pump adoption carry positive sentiment, while rising heating costs, grid strain, heat pump thefts, and the GEG debate carry negative sentiment. The study demonstrates that public perception of heat pumps is thematically heterogeneous and volatile, sensitive to major policy events.</t>
        </r>
      </text>
    </comment>
    <comment ref="P5" authorId="0" shapeId="0" xr:uid="{A6BC5E60-6C51-45A2-974D-3294FA9DA702}">
      <text>
        <r>
          <rPr>
            <sz val="14"/>
            <color indexed="81"/>
            <rFont val="Segoe UI"/>
            <family val="2"/>
          </rPr>
          <t>News data is not a perfect proxy for public discourse and cannot directly capture the opinions and perceptions of civil society; No information on readership is available, so it is unknown how often articles are actually read; Pretrained sentiment models can be sensitive to domain-specific language; Topic modeling results depend on parameter choices</t>
        </r>
      </text>
    </comment>
    <comment ref="Q5" authorId="0" shapeId="0" xr:uid="{E02752C7-0C5C-4B5A-9378-BE9BD6BD4633}">
      <text>
        <r>
          <rPr>
            <sz val="14"/>
            <color indexed="81"/>
            <rFont val="Segoe UI"/>
            <family val="2"/>
          </rPr>
          <t>Future research should combine media-based indicators with additional data sources such as survey evidence on acceptance, installation statistics, or readership measures; Further research should disentangle how specific topics are presented both positively and negatively within the general discourse; The workflow should be extended to other technologies (e.g., solar PV, wind power, hydrogen) and other national contexts for comparative research; Understanding how changes in discourse relate to actual adoption dynamics over time remains an open question</t>
        </r>
      </text>
    </comment>
    <comment ref="H6" authorId="0" shapeId="0" xr:uid="{2A0CAB03-7D78-4635-8A79-7E3ADD8287C9}">
      <text>
        <r>
          <rPr>
            <sz val="14"/>
            <color indexed="81"/>
            <rFont val="Segoe UI"/>
            <family val="2"/>
          </rPr>
          <t>The legalization of international instruments: a hybrid RAG scoring framework based on chain-of-thought prompting</t>
        </r>
      </text>
    </comment>
    <comment ref="I6" authorId="0" shapeId="0" xr:uid="{3AB77C4A-EBB9-49FD-84B6-0FE183B61A5B}">
      <text>
        <r>
          <rPr>
            <sz val="14"/>
            <color indexed="81"/>
            <rFont val="Segoe UI"/>
            <family val="2"/>
          </rPr>
          <t>The paper is primarily about developing an LLM-based scoring framework for international legal instruments, with the vector database serving only as a retrieval component within the RAG pipeline. No vector database system, indexing method, or similarity search technology is proposed, analyzed, or benchmarked; the vector database is used as a tool without any discussion of its internal architecture or performance characteristics.</t>
        </r>
      </text>
    </comment>
    <comment ref="J6" authorId="0" shapeId="0" xr:uid="{94EAF189-B251-4DE9-96B8-736F3F5BB5B6}">
      <text>
        <r>
          <rPr>
            <sz val="14"/>
            <color indexed="81"/>
            <rFont val="Segoe UI"/>
            <family val="2"/>
          </rPr>
          <t>Developing a hybrid RAG scoring framework based on chain-of-thought prompting to quantitatively evaluate the degree of legalization of international legal instruments across three dimensions (obligation, precision, delegation), addressing the limitations of manual coding in scalability and consistency.</t>
        </r>
      </text>
    </comment>
    <comment ref="K6" authorId="0" shapeId="0" xr:uid="{D0543A3B-6E5A-4B65-9C0F-5E5E3CC23B0F}">
      <text>
        <r>
          <rPr>
            <sz val="14"/>
            <color indexed="81"/>
            <rFont val="Segoe UI"/>
            <family val="2"/>
          </rPr>
          <t>A five-level coding standard and stepwise binary decision process are embedded as CoT prompt templates. A vector-indexed clause database of expert-annotated ASEAN instrument samples serves as the retrieval corpus in a RAG pipeline. An adaptive quality-weighted ranking strategy and a Legal-BERT cross-encoder secondary filtering mechanism refine retrieval results. The framework is evaluated against TF-IDF+LR and fine-tuned Legal-BERT baselines on ASEAN and cross-domain test sets.</t>
        </r>
      </text>
    </comment>
    <comment ref="L6" authorId="0" shapeId="0" xr:uid="{9868503E-A3D2-4A6B-B5FD-0F6BCE08C1C9}">
      <text>
        <r>
          <rPr>
            <sz val="14"/>
            <color indexed="81"/>
            <rFont val="Segoe UI"/>
            <family val="2"/>
          </rPr>
          <t>GPT-5.2; GPT-4o; GPT-4o-mini; GPT-3.5-turbo; Legal-BERT; TF-IDF+LR</t>
        </r>
      </text>
    </comment>
    <comment ref="N6" authorId="0" shapeId="0" xr:uid="{5D1FC73C-F12C-45DF-8740-E44E2D7E2D7C}">
      <text>
        <r>
          <rPr>
            <sz val="14"/>
            <color indexed="81"/>
            <rFont val="Segoe UI"/>
            <family val="2"/>
          </rPr>
          <t>International law and international relations: scoring the degree of legalization of ASEAN and other regional organizations' legal instruments</t>
        </r>
      </text>
    </comment>
    <comment ref="O6" authorId="0" shapeId="0" xr:uid="{9066458E-FF00-41BE-B45A-513F62EB9052}">
      <text>
        <r>
          <rPr>
            <sz val="14"/>
            <color indexed="81"/>
            <rFont val="Segoe UI"/>
            <family val="2"/>
          </rPr>
          <t>The hybrid RAG+CoT framework was evaluated on two test sets (ASEAN and cross-domain) using four LLMs and two supervised baselines. GPT-5.2 under the full framework achieved the best overall performance, with a QWK of 0.806 on the ASEAN test set, only 0.017 below the inter-expert agreement score of 0.823. Ablation experiments confirmed that both the RAG retrieval module and the CoT reasoning module contribute independently and synergistically, with the full configuration outperforming single-module and baseline settings across all metrics. The framework demonstrated cross-domain generalization, though with slight performance degradation on the non-ASEAN test set due to domain shift in the retrieval corpus. The framework was further applied to 30,096 clauses from 1,273 ASEAN documents, revealing that precision scores highest over time, followed by obligation, while delegation remains lowest, with a turning point after the 2008 ASEAN Charter.</t>
        </r>
      </text>
    </comment>
    <comment ref="P6" authorId="0" shapeId="0" xr:uid="{836801AB-68A2-45E4-B582-4F5188E3B94F}">
      <text>
        <r>
          <rPr>
            <sz val="14"/>
            <color indexed="81"/>
            <rFont val="Segoe UI"/>
            <family val="2"/>
          </rPr>
          <t>The expert-designed coding system relies on subjective interpretation of rule meanings and experiential judgment of borderline clauses, making it difficult to completely avoid subjective bias; The clause-level input architecture omits inter-clause dependencies and broader institutional context, leading to systematic scoring bias for clauses requiring document-level understanding; The vector database covers only ASEAN documents and does not incorporate materials from the EU, African Union, or other international organizations, limiting cross-domain generalizability; The scoring criteria follow a relatively linear decision process that has limitations when dealing with boundary clauses containing semantic ambiguity or multiple normative functions; The limited scale of the vector database (2,611 annotated examples) makes it difficult to provide sufficiently comprehensive reference samples for all clause types</t>
        </r>
      </text>
    </comment>
    <comment ref="Q6" authorId="0" shapeId="0" xr:uid="{92EFA926-62AA-4821-8D42-D3C83FD37055}">
      <text>
        <r>
          <rPr>
            <sz val="14"/>
            <color indexed="81"/>
            <rFont val="Segoe UI"/>
            <family val="2"/>
          </rPr>
          <t>Introduce multiple annotators for parallel coding with multi-round arbitration mechanisms to reduce subjective bias in the rule system; Explore hierarchical input architectures that integrate document-level structural metadata alongside clause text to incorporate institutional context; Expand the retrieval corpus to include legal documents from the EU, AU, UN, and other institutional systems to improve cross-domain applicability; Incorporate hybrid retrieval strategies combining lexical and dense approaches along with modular classification-based routing mechanisms; Apply the framework to trace the longitudinal evolution of institutionalization processes over time; Integrate regression analysis or causal inference methods to examine how political, economic, and institutional factors shape institutionalization; Align legalization scores with existing treaty compliance databases to examine the substantive impact of legalization levels on compliance rates</t>
        </r>
      </text>
    </comment>
  </commentList>
</comments>
</file>

<file path=xl/sharedStrings.xml><?xml version="1.0" encoding="utf-8"?>
<sst xmlns="http://schemas.openxmlformats.org/spreadsheetml/2006/main" count="98" uniqueCount="87">
  <si>
    <t>work_id</t>
  </si>
  <si>
    <t>openalex_link</t>
  </si>
  <si>
    <t>pdf_link</t>
  </si>
  <si>
    <t>open_access</t>
  </si>
  <si>
    <t>cite</t>
  </si>
  <si>
    <t>publication_date</t>
  </si>
  <si>
    <t>relevance</t>
  </si>
  <si>
    <t>title</t>
  </si>
  <si>
    <t>relevance_reason</t>
  </si>
  <si>
    <t>research_focus</t>
  </si>
  <si>
    <t>method</t>
  </si>
  <si>
    <t>mentioned_systems</t>
  </si>
  <si>
    <t>indexing_methods</t>
  </si>
  <si>
    <t>application_domain</t>
  </si>
  <si>
    <t>results_summary</t>
  </si>
  <si>
    <t>limitations</t>
  </si>
  <si>
    <t>research_gaps</t>
  </si>
  <si>
    <t>done</t>
  </si>
  <si>
    <t>W4401896515</t>
  </si>
  <si>
    <t>W4401016840</t>
  </si>
  <si>
    <t>W7126210324</t>
  </si>
  <si>
    <t>W7131423363</t>
  </si>
  <si>
    <t>W7167851908</t>
  </si>
  <si>
    <t>https://openalex.org/works/W4401896515</t>
  </si>
  <si>
    <t>https://openalex.org/works/W4401016840</t>
  </si>
  <si>
    <t>https://openalex.org/works/W7126210324</t>
  </si>
  <si>
    <t>https://openalex.org/works/W7131423363</t>
  </si>
  <si>
    <t>https://openalex.org/works/W7167851908</t>
  </si>
  <si>
    <t>C:\Users\Dominik\Documents\arm\pdf\open_access\W4401896515.pdf</t>
  </si>
  <si>
    <t>C:\Users\Dominik\Documents\arm\pdf\open_access\W4401016840.pdf</t>
  </si>
  <si>
    <t>C:\Users\Dominik\Documents\arm\pdf\open_access\W7126210324.pdf</t>
  </si>
  <si>
    <t>C:\Users\Dominik\Documents\arm\pdf\open_access\W7131423363.pdf</t>
  </si>
  <si>
    <t>C:\Users\Dominik\Documents\arm\pdf\open_access\W7167851908.pdf</t>
  </si>
  <si>
    <t>True</t>
  </si>
  <si>
    <t>2024-08-22</t>
  </si>
  <si>
    <t>2024-07-26</t>
  </si>
  <si>
    <t>2026-01-30</t>
  </si>
  <si>
    <t>2026-02-25</t>
  </si>
  <si>
    <t>2026-07-09</t>
  </si>
  <si>
    <t>middle</t>
  </si>
  <si>
    <t>low</t>
  </si>
  <si>
    <t>GenAI-Assisted Database Deployment for Heterogeneous Indigenous–Native Ethnographic Research Data</t>
  </si>
  <si>
    <t>Sustainability in Leadership: The Implicit Associations of the First-Person Pronouns and Leadership Effectiveness Based on Word Embedding Association Test</t>
  </si>
  <si>
    <t>Design and Prototype of a Chatbot for Public Participation in Major Infrastructure Projects</t>
  </si>
  <si>
    <t>Tracking the public perception of heat pumps: A sentiment analysis of German news articles</t>
  </si>
  <si>
    <t>The legalization of international instruments: a hybrid RAG scoring framework based on chain-of-thought prompting</t>
  </si>
  <si>
    <t>Vector databases are discussed as one of six database types and two specific methods of vector database support (self-trained models vs. commercial APIs) are examined with concrete examples of limitations, but the main subject is the broader database technology comparison for ethnographic research data and GenAI-assisted data transformation, not vector databases themselves.</t>
  </si>
  <si>
    <t>The paper is about leadership effectiveness and linguistic associations, using pre-trained word embeddings and cosine similarity as a measurement tool; vector databases as a technology (indexing, similarity search infrastructure) are neither discussed nor the subject of the paper.</t>
  </si>
  <si>
    <t>The vector database (Chroma) is used solely as a storage and retrieval component within a RAG chatbot pipeline for a public participation application; the paper does not propose, analyze, benchmark, or discuss vector database technology or indexing methods in any depth.</t>
  </si>
  <si>
    <t>The vector database is mentioned only as one component of the data-retrieval pipeline (semantic search with pretrained embeddings and a cross-encoder reranker) and is not examined, compared, or analyzed in any depth. The paper's subject is public perception of heat pumps in German media, not vector databases or similarity search technology.</t>
  </si>
  <si>
    <t>The paper is primarily about developing an LLM-based scoring framework for international legal instruments, with the vector database serving only as a retrieval component within the RAG pipeline. No vector database system, indexing method, or similarity search technology is proposed, analyzed, or benchmarked; the vector database is used as a tool without any discussion of its internal architecture or performance characteristics.</t>
  </si>
  <si>
    <t>Investigating which database technologies (relational, key-value NoSQL, graph, document, object-oriented, and vector databases) are best suited for storing heterogeneous indigenous ethnographic research data, and proposing GenAI-assisted methods to facilitate the data transformation process.</t>
  </si>
  <si>
    <t>The implicit association between first-person pronouns ('I' vs. 'we') and leadership effectiveness, measured using the Word Embedding Association Test (WEAT) in both Chinese and English linguistic contexts.</t>
  </si>
  <si>
    <t>Developing and validating a RAG-based chatbot to improve public participation in planning approval procedures for major road and rail infrastructure projects in Germany, specifically by simplifying planning documents, finding relevant information, and answering standard questions.</t>
  </si>
  <si>
    <t>Tracking how heat pumps are portrayed in German public discourse by analyzing sentiment and thematic structure in 33,131 online news articles published between 2018 and 2023, with particular attention to the 2023 Buildings Energy Act (GEG) controversy.</t>
  </si>
  <si>
    <t>Developing a hybrid RAG scoring framework based on chain-of-thought prompting to quantitatively evaluate the degree of legalization of international legal instruments across three dimensions (obligation, precision, delegation), addressing the limitations of manual coding in scalability and consistency.</t>
  </si>
  <si>
    <t>The paper compares six database categories for ethnographic data storage based on actual construction experience, and proposes two GenAI-assisted methods for vector database support: (1) generating vector embeddings through self-trained models and (2) using commercial services like the OpenAI API. The comparison is grounded in the specific needs of indigenous language data (e.g., Paiwan language) and complex relational structures in ethnographic surveys.</t>
  </si>
  <si>
    <t>Word Embedding Association Test (WEAT) computing cosine similarity between word vectors (from BNU and Google News word vector databases) and sentence vectors (from a Chinese Wikipedia BERT model) to quantify the implicit semantic association between first-person pronouns and leadership effectiveness.</t>
  </si>
  <si>
    <t>Conceptual development of three use cases, prototypical implementation using a RAG architecture with a Chroma vector database storing 84 planning documents as vectors, and validation through four focus group workshops with 25 professionals from state and federal road and rail infrastructure administrations using quantitative and qualitative criteria.</t>
  </si>
  <si>
    <t>A multi-step NLP pipeline: (1) semantic search in a vector database with pretrained text embeddings and a cross-encoder reranker to retrieve relevant articles from the German CommonCrawl news dataset; (2) NLI-based zero-shot sentiment classification at the article level; (3) BERTopic for topic modeling; (4) regression models linking topics and sentiment while controlling for article length, readability, media outlet, and time fixed effects.</t>
  </si>
  <si>
    <t>A five-level coding standard and stepwise binary decision process are embedded as CoT prompt templates. A vector-indexed clause database of expert-annotated ASEAN instrument samples serves as the retrieval corpus in a RAG pipeline. An adaptive quality-weighted ranking strategy and a Legal-BERT cross-encoder secondary filtering mechanism refine retrieval results. The framework is evaluated against TF-IDF+LR and fine-tuned Legal-BERT baselines on ASEAN and cross-domain test sets.</t>
  </si>
  <si>
    <t>OpenAI API; ChatGPT 4o; text-embedding-ada-002</t>
  </si>
  <si>
    <t>Chroma</t>
  </si>
  <si>
    <t>BERTopic</t>
  </si>
  <si>
    <t>GPT-5.2; GPT-4o; GPT-4o-mini; GPT-3.5-turbo; Legal-BERT; TF-IDF+LR</t>
  </si>
  <si>
    <t>angle comparison</t>
  </si>
  <si>
    <t>Ethnographic research data management, indigenous language data (Paiwan language), sociology and anthropology fieldwork data</t>
  </si>
  <si>
    <t>Organizational behavior and leadership research; NLP-based measurement of implicit linguistic associations</t>
  </si>
  <si>
    <t>Public participation in infrastructure planning approval processes (road and rail) in Germany</t>
  </si>
  <si>
    <t>Energy policy and public discourse analysis (sentiment analysis of news articles on heat pump technology adoption in Germany)</t>
  </si>
  <si>
    <t>International law and international relations: scoring the degree of legalization of ASEAN and other regional organizations' legal instruments</t>
  </si>
  <si>
    <t>The paper found that NoSQL databases, particularly document and graph databases, are the most appropriate for heterogeneous ethnographic data due to their flexibility and ability to handle complex relationships. For vector databases, self-trained embedding models showed better results for indigenous languages but required considerable computational resources, while commercial APIs like OpenAI produced quick results but had poor accuracy for indigenous linguistic data, failing to recognize culturally specific concepts. Both vector database approaches shared a common issue of data contamination through the embedding feedback mechanism, with residual effects persisting even after contaminated data removal. The overall evaluation of vector databases was deemed incomplete, underscoring the need for further technological development to address these challenges in the context of indigenous language data.</t>
  </si>
  <si>
    <t>The paper applied WEAT to measure the implicit semantic association between first-person pronouns and leadership effectiveness. Word vector analyses from both the BNU and Google News databases showed that the cosine similarity of 'we-leadership effectiveness' was significantly higher than 'I-leadership effectiveness' in both Chinese and English contexts. Sentence vector analysis using a BERT model further corroborated this finding with a larger effect size. The results suggest that leaders who preferentially use 'we' are implicitly perceived as more effective, and that this association holds cross-culturally. The study also demonstrated the feasibility of WEAT as an alternative to traditional scale-based measurement of organizational behavioral variables.</t>
  </si>
  <si>
    <t>The paper developed a RAG-based chatbot prototype using the Chroma vector database to store 84 planning documents and an FAQ document as vectors, then validated it through four focus workshops with 25 participants. Results showed moderate to high potential for improving the participation process, with 'Answering standard questions' rated highest (mean 1.9, close to 'marked improvement'), followed by 'Finding documents' (1.8) and 'Simplification of language' (1.6). Participants confirmed that the system reduced unnecessary objections and improved comprehensibility of complex planning documents. However, concerns were raised about hallucinations, incomplete search results, and the need for stronger legal safeguards under GDPR and the EU AI Act.</t>
  </si>
  <si>
    <t>The paper compiled a corpus of 33,131 German heat pump news articles (2018–2023) and applied a scalable NLP pipeline to measure sentiment and identify topics. Results show that heat pump articles are, on average, framed more positively than the broader news landscape, but sentiment varies substantially by topic. A sharp sentiment decline occurred in early 2023 during the heating law (GEG) controversy, followed by gradual recovery. Topics such as district heating planning and heat pump adoption carry positive sentiment, while rising heating costs, grid strain, heat pump thefts, and the GEG debate carry negative sentiment. The study demonstrates that public perception of heat pumps is thematically heterogeneous and volatile, sensitive to major policy events.</t>
  </si>
  <si>
    <t>The hybrid RAG+CoT framework was evaluated on two test sets (ASEAN and cross-domain) using four LLMs and two supervised baselines. GPT-5.2 under the full framework achieved the best overall performance, with a QWK of 0.806 on the ASEAN test set, only 0.017 below the inter-expert agreement score of 0.823. Ablation experiments confirmed that both the RAG retrieval module and the CoT reasoning module contribute independently and synergistically, with the full configuration outperforming single-module and baseline settings across all metrics. The framework demonstrated cross-domain generalization, though with slight performance degradation on the non-ASEAN test set due to domain shift in the retrieval corpus. The framework was further applied to 30,096 clauses from 1,273 ASEAN documents, revealing that precision scores highest over time, followed by obligation, while delegation remains lowest, with a turning point after the 2008 ASEAN Charter.</t>
  </si>
  <si>
    <t>Converting contents into vector data remains challenging, especially in regions with unique oral traditions and languages; Constructing databases is labor-intensive and requires domain experts to define metadata and relationships; Self-trained embedding models require considerable computational resources and high hardware construction costs; Commercial services like OpenAI API have poor accuracy for indigenous linguistic data due to primarily English training data; Each data insertion and retrieval via commercial APIs incurs extra costs, creating a financial burden for long-term operations; Data contamination through the vector embedding feedback mechanism, with residual effects remaining even after contaminated data are removed</t>
  </si>
  <si>
    <t>Only Chinese and English language regions were considered; results may not generalize to other languages.; Demographic and personality information of users could not be collected, limiting analysis to specific groups.; Online big data measurements do not capture real offline behavior, introducing potential contextual bias.; The word vector databases were trained on filtered news media texts, which may contain tendencies that do not reflect the true psychology of the population.; The study focused on group-level perceptions and did not explore individual leader-level factors or situational/task-specific differences.</t>
  </si>
  <si>
    <t>Hallucination risk persists, particularly when using semantic vector search instead of keyword-based search; Document finding returned only partial results in some cases; Generated summaries were perceived as too short by some participants; The UI warning about potentially incorrect content is not a sufficient legal safeguard on its own; Legal compliance with GDPR and EU AI Act remains uncertain as the Act has not yet been transposed into national law; The chatbot's functionality was examined exclusively in German; Social acceptance and public trust in AI applications remain challenges</t>
  </si>
  <si>
    <t>News data is not a perfect proxy for public discourse and cannot directly capture the opinions and perceptions of civil society; No information on readership is available, so it is unknown how often articles are actually read; Pretrained sentiment models can be sensitive to domain-specific language; Topic modeling results depend on parameter choices</t>
  </si>
  <si>
    <t>The expert-designed coding system relies on subjective interpretation of rule meanings and experiential judgment of borderline clauses, making it difficult to completely avoid subjective bias; The clause-level input architecture omits inter-clause dependencies and broader institutional context, leading to systematic scoring bias for clauses requiring document-level understanding; The vector database covers only ASEAN documents and does not incorporate materials from the EU, African Union, or other international organizations, limiting cross-domain generalizability; The scoring criteria follow a relatively linear decision process that has limitations when dealing with boundary clauses containing semantic ambiguity or multiple normative functions; The limited scale of the vector database (2,611 annotated examples) makes it difficult to provide sufficiently comprehensive reference samples for all clause types</t>
  </si>
  <si>
    <t>Need for further technological development to tackle data contamination challenges in vector databases; Need to design a knowledge base for GenAI to use as a benchmark to prevent generated relations from diverging too broadly in graph databases; Need for custom models or adapted models to better capture linguistic nuances and cultural contexts specific to indigenous languages; The overall evaluation of vector databases for indigenous language applications is deemed incomplete</t>
  </si>
  <si>
    <t>Collect data for different languages and groups in specific scenarios to build a more complete analytical model.; Collect more data on users' personal statements and social media data to validate findings in spontaneous messages.; Investigate individual leader-level factors, including the mismatch between implicit perceptions and explicit behaviors.; Examine how different first-person pronoun usage in different task scenarios affects leadership effectiveness.</t>
  </si>
  <si>
    <t>Introducing automated validation steps such as similarity checks between original and cleaned text passages; Improving the underlying text extraction pipeline to reduce the need for LLM-based cleaning; Investigating the chatbot's performance and applicability in other languages; Further development and testing to fully exploit the system's potential; Conducting a legal review to assess whether current safeguards adequately protect from liability; Expanding the system with additional functionalities through iterative development</t>
  </si>
  <si>
    <t>Future research should combine media-based indicators with additional data sources such as survey evidence on acceptance, installation statistics, or readership measures; Further research should disentangle how specific topics are presented both positively and negatively within the general discourse; The workflow should be extended to other technologies (e.g., solar PV, wind power, hydrogen) and other national contexts for comparative research; Understanding how changes in discourse relate to actual adoption dynamics over time remains an open question</t>
  </si>
  <si>
    <t>Introduce multiple annotators for parallel coding with multi-round arbitration mechanisms to reduce subjective bias in the rule system; Explore hierarchical input architectures that integrate document-level structural metadata alongside clause text to incorporate institutional context; Expand the retrieval corpus to include legal documents from the EU, AU, UN, and other institutional systems to improve cross-domain applicability; Incorporate hybrid retrieval strategies combining lexical and dense approaches along with modular classification-based routing mechanisms; Apply the framework to trace the longitudinal evolution of institutionalization processes over time; Integrate regression analysis or causal inference methods to examine how political, economic, and institutional factors shape institutionalization; Align legalization scores with existing treaty compliance databases to examine the substantive impact of legalization levels on compliance rates</t>
  </si>
  <si>
    <t>False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</si>
</sst>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
  </numFmts>
  <fonts count="4" x14ac:knownFonts="1">
    <font>
      <sz val="11"/>
      <color theme="1"/>
      <name val="Calibri"/>
      <family val="2"/>
      <scheme val="minor"/>
    </font>
    <font>
      <u/>
      <sz val="11"/>
      <color theme="10"/>
      <name val="Calibri"/>
      <family val="2"/>
    </font>
    <font>
      <b/>
      <sz val="11"/>
      <color theme="1"/>
      <name val="Calibri"/>
      <family val="2"/>
      <scheme val="minor"/>
    </font>
    <font>
      <sz val="14"/>
      <color indexed="81"/>
      <name val="Segoe UI"/>
      <family val="2"/>
    </font>
  </fonts>
  <fills count="3">
    <fill>
      <patternFill patternType="none"/>
    </fill>
    <fill>
      <patternFill patternType="gray125"/>
    </fill>
    <fill>
      <patternFill patternType="solid">
        <fgColor theme="0" tint="-0.149967955565050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6">
    <xf numFmtId="0" fontId="0" fillId="0" borderId="0" xfId="0"/>
    <xf numFmtId="0" fontId="0" fillId="0" borderId="1" xfId="0" applyBorder="1"/>
    <xf numFmtId="0" fontId="1" fillId="0" borderId="1" xfId="1" applyBorder="1" applyAlignment="1" applyProtection="1"/>
    <xf numFmtId="164" fontId="0" fillId="0" borderId="1" xfId="0" applyNumberFormat="1" applyBorder="1"/>
    <xf numFmtId="0" fontId="2" fillId="2" borderId="1" xfId="0" applyFont="1" applyFill="1" applyBorder="1"/>
    <xf numFmtId="0" fontId="1" fillId="2" borderId="1" xfId="1" applyFill="1" applyBorder="1" applyAlignment="1" applyProtection="1"/>
  </cellXfs>
  <cellStyles count="2">
    <cellStyle name="Link" xfId="1" builtinId="8"/>
    <cellStyle name="Standard" xfId="0" builtinId="0"/>
  </cellStyles>
  <dxfs count="3">
    <dxf>
      <fill>
        <patternFill>
          <bgColor rgb="FFFFFF96"/>
        </patternFill>
      </fill>
    </dxf>
    <dxf>
      <fill>
        <patternFill>
          <bgColor rgb="FFC6E0B4"/>
        </patternFill>
      </fill>
    </dxf>
    <dxf>
      <fill>
        <patternFill>
          <bgColor rgb="FFFF828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openalex.org/works/W7126210324" TargetMode="External"/><Relationship Id="rId7" Type="http://schemas.openxmlformats.org/officeDocument/2006/relationships/comments" Target="../comments1.xml"/><Relationship Id="rId2" Type="http://schemas.openxmlformats.org/officeDocument/2006/relationships/hyperlink" Target="https://openalex.org/works/W4401016840" TargetMode="External"/><Relationship Id="rId1" Type="http://schemas.openxmlformats.org/officeDocument/2006/relationships/hyperlink" Target="https://openalex.org/works/W4401896515" TargetMode="External"/><Relationship Id="rId6" Type="http://schemas.openxmlformats.org/officeDocument/2006/relationships/vmlDrawing" Target="../drawings/vmlDrawing1.vml"/><Relationship Id="rId5" Type="http://schemas.openxmlformats.org/officeDocument/2006/relationships/hyperlink" Target="https://openalex.org/works/W7167851908" TargetMode="External"/><Relationship Id="rId4" Type="http://schemas.openxmlformats.org/officeDocument/2006/relationships/hyperlink" Target="https://openalex.org/works/W713142336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6"/>
  <sheetViews>
    <sheetView tabSelected="1" workbookViewId="0">
      <selection activeCell="R7" sqref="R7"/>
    </sheetView>
  </sheetViews>
  <sheetFormatPr baseColWidth="10" defaultColWidth="9.140625" defaultRowHeight="15" x14ac:dyDescent="0.25"/>
  <cols>
    <col min="1" max="1" width="12.85546875" bestFit="1" customWidth="1"/>
    <col min="2" max="3" width="0" hidden="1" customWidth="1"/>
  </cols>
  <sheetData>
    <row r="1" spans="1:20" x14ac:dyDescent="0.25">
      <c r="A1" s="4" t="s">
        <v>0</v>
      </c>
      <c r="B1" s="4" t="s">
        <v>1</v>
      </c>
      <c r="C1" s="4" t="s">
        <v>2</v>
      </c>
      <c r="D1" s="4" t="s">
        <v>3</v>
      </c>
      <c r="E1" s="4" t="s">
        <v>4</v>
      </c>
      <c r="F1" s="4" t="s">
        <v>5</v>
      </c>
      <c r="G1" s="4" t="s">
        <v>6</v>
      </c>
      <c r="H1" s="4" t="s">
        <v>7</v>
      </c>
      <c r="I1" s="4" t="s">
        <v>8</v>
      </c>
      <c r="J1" s="4" t="s">
        <v>9</v>
      </c>
      <c r="K1" s="4" t="s">
        <v>10</v>
      </c>
      <c r="L1" s="4" t="s">
        <v>11</v>
      </c>
      <c r="M1" s="4" t="s">
        <v>12</v>
      </c>
      <c r="N1" s="4" t="s">
        <v>13</v>
      </c>
      <c r="O1" s="4" t="s">
        <v>14</v>
      </c>
      <c r="P1" s="4" t="s">
        <v>15</v>
      </c>
      <c r="Q1" s="4" t="s">
        <v>16</v>
      </c>
      <c r="R1" s="4" t="s">
        <v>17</v>
      </c>
      <c r="S1" s="4"/>
      <c r="T1" s="4"/>
    </row>
    <row r="2" spans="1:20" x14ac:dyDescent="0.25">
      <c r="A2" s="1" t="s">
        <v>18</v>
      </c>
      <c r="B2" s="2" t="s">
        <v>23</v>
      </c>
      <c r="C2" s="1" t="s">
        <v>28</v>
      </c>
      <c r="D2" s="1" t="s">
        <v>33</v>
      </c>
      <c r="E2" s="1">
        <v>4</v>
      </c>
      <c r="F2" s="1" t="s">
        <v>34</v>
      </c>
      <c r="G2" s="1" t="s">
        <v>39</v>
      </c>
      <c r="H2" s="3" t="s">
        <v>41</v>
      </c>
      <c r="I2" s="3" t="s">
        <v>46</v>
      </c>
      <c r="J2" s="3" t="s">
        <v>51</v>
      </c>
      <c r="K2" s="3" t="s">
        <v>56</v>
      </c>
      <c r="L2" s="3" t="s">
        <v>61</v>
      </c>
      <c r="M2" s="3"/>
      <c r="N2" s="3" t="s">
        <v>66</v>
      </c>
      <c r="O2" s="3" t="s">
        <v>71</v>
      </c>
      <c r="P2" s="3" t="s">
        <v>76</v>
      </c>
      <c r="Q2" s="3" t="s">
        <v>81</v>
      </c>
      <c r="R2" s="1" t="s">
        <v>86</v>
      </c>
      <c r="S2" s="5" t="str">
        <f>HYPERLINK(B2,"link")</f>
        <v>link</v>
      </c>
      <c r="T2" s="5" t="str">
        <f>HYPERLINK(C2,"pdf")</f>
        <v>pdf</v>
      </c>
    </row>
    <row r="3" spans="1:20" x14ac:dyDescent="0.25">
      <c r="A3" s="1" t="s">
        <v>19</v>
      </c>
      <c r="B3" s="2" t="s">
        <v>24</v>
      </c>
      <c r="C3" s="1" t="s">
        <v>29</v>
      </c>
      <c r="D3" s="1" t="s">
        <v>33</v>
      </c>
      <c r="E3" s="1">
        <v>0</v>
      </c>
      <c r="F3" s="1" t="s">
        <v>35</v>
      </c>
      <c r="G3" s="1" t="s">
        <v>40</v>
      </c>
      <c r="H3" s="3" t="s">
        <v>42</v>
      </c>
      <c r="I3" s="3" t="s">
        <v>47</v>
      </c>
      <c r="J3" s="3" t="s">
        <v>52</v>
      </c>
      <c r="K3" s="3" t="s">
        <v>57</v>
      </c>
      <c r="L3" s="3"/>
      <c r="M3" s="3"/>
      <c r="N3" s="3" t="s">
        <v>67</v>
      </c>
      <c r="O3" s="3" t="s">
        <v>72</v>
      </c>
      <c r="P3" s="3" t="s">
        <v>77</v>
      </c>
      <c r="Q3" s="3" t="s">
        <v>82</v>
      </c>
      <c r="R3" s="1" t="s">
        <v>86</v>
      </c>
      <c r="S3" s="5" t="str">
        <f t="shared" ref="S3:S6" si="0">HYPERLINK(B3,"link")</f>
        <v>link</v>
      </c>
      <c r="T3" s="5" t="str">
        <f t="shared" ref="T3:T6" si="1">HYPERLINK(C3,"pdf")</f>
        <v>pdf</v>
      </c>
    </row>
    <row r="4" spans="1:20" x14ac:dyDescent="0.25">
      <c r="A4" s="1" t="s">
        <v>20</v>
      </c>
      <c r="B4" s="2" t="s">
        <v>25</v>
      </c>
      <c r="C4" s="1" t="s">
        <v>30</v>
      </c>
      <c r="D4" s="1" t="s">
        <v>33</v>
      </c>
      <c r="E4" s="1">
        <v>0</v>
      </c>
      <c r="F4" s="1" t="s">
        <v>36</v>
      </c>
      <c r="G4" s="1" t="s">
        <v>40</v>
      </c>
      <c r="H4" s="3" t="s">
        <v>43</v>
      </c>
      <c r="I4" s="3" t="s">
        <v>48</v>
      </c>
      <c r="J4" s="3" t="s">
        <v>53</v>
      </c>
      <c r="K4" s="3" t="s">
        <v>58</v>
      </c>
      <c r="L4" s="3" t="s">
        <v>62</v>
      </c>
      <c r="M4" s="3" t="s">
        <v>65</v>
      </c>
      <c r="N4" s="3" t="s">
        <v>68</v>
      </c>
      <c r="O4" s="3" t="s">
        <v>73</v>
      </c>
      <c r="P4" s="3" t="s">
        <v>78</v>
      </c>
      <c r="Q4" s="3" t="s">
        <v>83</v>
      </c>
      <c r="R4" s="1" t="s">
        <v>86</v>
      </c>
      <c r="S4" s="5" t="str">
        <f t="shared" si="0"/>
        <v>link</v>
      </c>
      <c r="T4" s="5" t="str">
        <f t="shared" si="1"/>
        <v>pdf</v>
      </c>
    </row>
    <row r="5" spans="1:20" x14ac:dyDescent="0.25">
      <c r="A5" s="1" t="s">
        <v>21</v>
      </c>
      <c r="B5" s="2" t="s">
        <v>26</v>
      </c>
      <c r="C5" s="1" t="s">
        <v>31</v>
      </c>
      <c r="D5" s="1" t="s">
        <v>33</v>
      </c>
      <c r="E5" s="1">
        <v>0</v>
      </c>
      <c r="F5" s="1" t="s">
        <v>37</v>
      </c>
      <c r="G5" s="1" t="s">
        <v>40</v>
      </c>
      <c r="H5" s="3" t="s">
        <v>44</v>
      </c>
      <c r="I5" s="3" t="s">
        <v>49</v>
      </c>
      <c r="J5" s="3" t="s">
        <v>54</v>
      </c>
      <c r="K5" s="3" t="s">
        <v>59</v>
      </c>
      <c r="L5" s="3" t="s">
        <v>63</v>
      </c>
      <c r="M5" s="3"/>
      <c r="N5" s="3" t="s">
        <v>69</v>
      </c>
      <c r="O5" s="3" t="s">
        <v>74</v>
      </c>
      <c r="P5" s="3" t="s">
        <v>79</v>
      </c>
      <c r="Q5" s="3" t="s">
        <v>84</v>
      </c>
      <c r="R5" s="1" t="s">
        <v>86</v>
      </c>
      <c r="S5" s="5" t="str">
        <f t="shared" si="0"/>
        <v>link</v>
      </c>
      <c r="T5" s="5" t="str">
        <f t="shared" si="1"/>
        <v>pdf</v>
      </c>
    </row>
    <row r="6" spans="1:20" x14ac:dyDescent="0.25">
      <c r="A6" s="1" t="s">
        <v>22</v>
      </c>
      <c r="B6" s="2" t="s">
        <v>27</v>
      </c>
      <c r="C6" s="1" t="s">
        <v>32</v>
      </c>
      <c r="D6" s="1" t="s">
        <v>33</v>
      </c>
      <c r="E6" s="1">
        <v>0</v>
      </c>
      <c r="F6" s="1" t="s">
        <v>38</v>
      </c>
      <c r="G6" s="1" t="s">
        <v>40</v>
      </c>
      <c r="H6" s="3" t="s">
        <v>45</v>
      </c>
      <c r="I6" s="3" t="s">
        <v>50</v>
      </c>
      <c r="J6" s="3" t="s">
        <v>55</v>
      </c>
      <c r="K6" s="3" t="s">
        <v>60</v>
      </c>
      <c r="L6" s="3" t="s">
        <v>64</v>
      </c>
      <c r="M6" s="3"/>
      <c r="N6" s="3" t="s">
        <v>70</v>
      </c>
      <c r="O6" s="3" t="s">
        <v>75</v>
      </c>
      <c r="P6" s="3" t="s">
        <v>80</v>
      </c>
      <c r="Q6" s="3" t="s">
        <v>85</v>
      </c>
      <c r="R6" s="1" t="s">
        <v>86</v>
      </c>
      <c r="S6" s="5" t="str">
        <f t="shared" si="0"/>
        <v>link</v>
      </c>
      <c r="T6" s="5" t="str">
        <f t="shared" si="1"/>
        <v>pdf</v>
      </c>
    </row>
  </sheetData>
  <conditionalFormatting sqref="A2:R6">
    <cfRule type="expression" dxfId="2" priority="3" stopIfTrue="1">
      <formula>$R2="False"</formula>
    </cfRule>
    <cfRule type="expression" dxfId="1" priority="2" stopIfTrue="1">
      <formula>$R2="True"</formula>
    </cfRule>
    <cfRule type="expression" dxfId="0" priority="1" stopIfTrue="1">
      <formula>A2=""</formula>
    </cfRule>
  </conditionalFormatting>
  <hyperlinks>
    <hyperlink ref="B2" r:id="rId1" xr:uid="{00000000-0004-0000-0000-000000000000}"/>
    <hyperlink ref="B3" r:id="rId2" xr:uid="{00000000-0004-0000-0000-000001000000}"/>
    <hyperlink ref="B4" r:id="rId3" xr:uid="{00000000-0004-0000-0000-000002000000}"/>
    <hyperlink ref="B5" r:id="rId4" xr:uid="{00000000-0004-0000-0000-000003000000}"/>
    <hyperlink ref="B6" r:id="rId5" xr:uid="{00000000-0004-0000-0000-000004000000}"/>
  </hyperlinks>
  <pageMargins left="0.7" right="0.7" top="0.75" bottom="0.75" header="0.3" footer="0.3"/>
  <legacyDrawing r:id="rId6"/>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vt:i4>
      </vt:variant>
    </vt:vector>
  </HeadingPairs>
  <TitlesOfParts>
    <vt:vector size="1" baseType="lpstr">
      <vt:lpstr>Case-Study_Application-Paper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Dominik Krakau</cp:lastModifiedBy>
  <dcterms:created xsi:type="dcterms:W3CDTF">2026-10-09T12:51:29Z</dcterms:created>
  <dcterms:modified xsi:type="dcterms:W3CDTF">2026-10-13T12:19:13Z</dcterms:modified>
</cp:coreProperties>
</file>
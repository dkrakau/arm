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FA5E4696-8B1B-4959-BDBF-4F93085566D0}" xr6:coauthVersionLast="47" xr6:coauthVersionMax="47" xr10:uidLastSave="{00000000-0000-0000-0000-000000000000}"/>
  <bookViews>
    <workbookView xWindow="-120" yWindow="-120" windowWidth="38640" windowHeight="21120" xr2:uid="{00000000-000D-0000-FFFF-FFFF00000000}"/>
  </bookViews>
  <sheets>
    <sheet name="Other" sheetId="1" r:id="rId1"/>
    <sheet name="Survey_Review"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3" l="1"/>
  <c r="T4" i="3"/>
  <c r="T5" i="3"/>
  <c r="T6" i="3"/>
  <c r="T7" i="3"/>
  <c r="T8" i="3"/>
  <c r="S3" i="3"/>
  <c r="S4" i="3"/>
  <c r="S5" i="3"/>
  <c r="S6" i="3"/>
  <c r="S7" i="3"/>
  <c r="S8" i="3"/>
  <c r="T2" i="3"/>
  <c r="S2" i="3"/>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663548E-5183-4FA8-AFEB-D69E17DB772D}">
      <text>
        <r>
          <rPr>
            <sz val="9"/>
            <color indexed="81"/>
            <rFont val="Segoe UI"/>
            <charset val="1"/>
          </rPr>
          <t>Plasmids in environmental microbes: An annotated selection of World Wide Web sites relevant to the topics in environmental microbiology</t>
        </r>
      </text>
    </comment>
    <comment ref="I2" authorId="0" shapeId="0" xr:uid="{93E179BE-D0EF-4FF7-A1A1-A362C11A5F3A}">
      <text>
        <r>
          <rPr>
            <sz val="9"/>
            <color indexed="81"/>
            <rFont val="Segoe UI"/>
            <charset val="1"/>
          </rPr>
          <t>The paper is about plasmids in environmental microbes; the 'vector database' mentioned is Addgene's molecular biology resource for plasmid backbones, not a computer science vector database for similarity or nearest-neighbor search.</t>
        </r>
      </text>
    </comment>
    <comment ref="J2" authorId="0" shapeId="0" xr:uid="{91301A0D-D015-41D2-9AA3-0FAD73436E28}">
      <text>
        <r>
          <rPr>
            <sz val="9"/>
            <color indexed="81"/>
            <rFont val="Segoe UI"/>
            <charset val="1"/>
          </rPr>
          <t>The composition and distribution of plasmids in environmental microbes, with a broader view than the typical focus on antibiotic resistance, and a compilation of plasmid/vector resources and databases.</t>
        </r>
      </text>
    </comment>
    <comment ref="K2" authorId="0" shapeId="0" xr:uid="{BCFCC986-8C4B-4F4E-92EC-5F134F4FBD5D}">
      <text>
        <r>
          <rPr>
            <sz val="9"/>
            <color indexed="81"/>
            <rFont val="Segoe UI"/>
            <charset val="1"/>
          </rPr>
          <t>Compilation of links and references to plasmid-related literature, databases, and resources (e.g., Addgene Vector Database, NCBI, EBI plasmid database, SnapGene).</t>
        </r>
      </text>
    </comment>
    <comment ref="L2" authorId="0" shapeId="0" xr:uid="{3C006E3A-3279-4D3E-8258-EC06BAE10DDC}">
      <text>
        <r>
          <rPr>
            <sz val="9"/>
            <color indexed="81"/>
            <rFont val="Segoe UI"/>
            <charset val="1"/>
          </rPr>
          <t>Addgene Vector Database</t>
        </r>
      </text>
    </comment>
    <comment ref="N2" authorId="0" shapeId="0" xr:uid="{6723FAD1-CF3E-4B43-BFAC-BA8D2B771E73}">
      <text>
        <r>
          <rPr>
            <sz val="9"/>
            <color indexed="81"/>
            <rFont val="Segoe UI"/>
            <charset val="1"/>
          </rPr>
          <t>Molecular biology / biochemistry (plasmid and cloning vector research)</t>
        </r>
      </text>
    </comment>
    <comment ref="O2" authorId="0" shapeId="0" xr:uid="{1069DCDC-59FD-41A9-9C86-BC5F4DE3ABE9}">
      <text>
        <r>
          <rPr>
            <sz val="9"/>
            <color indexed="81"/>
            <rFont val="Segoe UI"/>
            <charset val="1"/>
          </rPr>
          <t>The paper compiles references and links to resources related to plasmids in environmental microbes, noting that most plasmid studies focus on antibiotic resistance, which accounts for only 1% of plasmid genes. It highlights the Addgene Vector Database with 4,399 entries on vector backbones and points to various other plasmid sequence databases and annotation tools. The paper serves as a curated list of resources for plasmid detection, annotation, and engineering rather than presenting original experimental results. No quantitative findings or benchmarks are reported.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E9E49EC-C8FA-4872-B60D-D4D1332E4A77}">
      <text>
        <r>
          <rPr>
            <sz val="9"/>
            <color indexed="81"/>
            <rFont val="Segoe UI"/>
            <family val="2"/>
          </rPr>
          <t>Nigeria Anopheles Vector Database: An Overview of 100 Years' Research</t>
        </r>
      </text>
    </comment>
    <comment ref="I2" authorId="0" shapeId="0" xr:uid="{F1AF2FD9-13CA-4733-84BB-D40E0CCC65F7}">
      <text>
        <r>
          <rPr>
            <sz val="9"/>
            <color indexed="81"/>
            <rFont val="Segoe UI"/>
            <family val="2"/>
          </rPr>
          <t>The paper uses 'vector' in the entomological sense (disease-transmitting mosquitoes) and 'database' as a compilation of published entomological records; it has no connection to vector database technology, vector indexing, or similarity/nearest-neighbor search.</t>
        </r>
      </text>
    </comment>
    <comment ref="J2" authorId="0" shapeId="0" xr:uid="{55E77212-FBB1-402E-89D2-B5FCD4DC6311}">
      <text>
        <r>
          <rPr>
            <sz val="9"/>
            <color indexed="81"/>
            <rFont val="Segoe UI"/>
            <family val="2"/>
          </rPr>
          <t>A comprehensive collation of 100 years of published data (1900–2010) on the spatial distribution, species composition, sampling methods, insecticide resistance, and parasite prevalence of Anopheles mosquito vectors of malaria and lymphatic filariasis in Nigeria.</t>
        </r>
      </text>
    </comment>
    <comment ref="K2" authorId="0" shapeId="0" xr:uid="{D551DF2E-D842-4043-B1E0-4DEF07F17870}">
      <text>
        <r>
          <rPr>
            <sz val="9"/>
            <color indexed="81"/>
            <rFont val="Segoe UI"/>
            <family val="2"/>
          </rPr>
          <t>All 110 relevant publications were collated into a georeferenced database recording locality, latitude/longitude, time period, species, abundance, sampling/collection methods, morphological and molecular identification methods, insecticide resistance status (including kdr allele), and parasite prevalence rates.</t>
        </r>
      </text>
    </comment>
    <comment ref="O2" authorId="0" shapeId="0" xr:uid="{AB8E44BD-BFA4-425F-AFF0-B2F1F50FAD5F}">
      <text>
        <r>
          <rPr>
            <sz val="9"/>
            <color indexed="81"/>
            <rFont val="Segoe UI"/>
            <family val="2"/>
          </rPr>
          <t>The collation of 110 publications identified 484,747 Anopheles mosquitoes across 632 spatially unique descriptions at 142 georeferenced locations in Nigeria. The most abundant vectors were the An. gambiae complex (65.2%) and An. funestus complex (17.3%), with molecular forms M and S identified at 120 locations. Insecticide resistance to pyrethroids and organochlorines was widespread across 45 locations, particularly in the southwestern region. The data revealed a geographical shift in research focus from the northern region in the 20th century to the southern region in recent decades, with large gaps in the eastern regions. The database provides a baseline for malaria and LF vector control programmes in Nigeria.</t>
        </r>
      </text>
    </comment>
    <comment ref="P2" authorId="0" shapeId="0" xr:uid="{31975F83-EEFE-4AD7-8D72-8315E47995C8}">
      <text>
        <r>
          <rPr>
            <sz val="9"/>
            <color indexed="81"/>
            <rFont val="Segoe UI"/>
            <family val="2"/>
          </rPr>
          <t>Total number of mosquitoes collected is underrepresented as numbers were not available in some studies; Species abundance was not specified in some studies; Very few studies were carried out in the same locations in different years or seasons, restricting analysis and comparisons over time; Great variability in reporting of mosquito sampling and collection methods over time; Most missing data were from earlier studies (1900–1963) when few identification options existed; Few records on LF parasite prevalence make it difficult for comparisons between studies, locations, and species</t>
        </r>
      </text>
    </comment>
    <comment ref="Q2" authorId="0" shapeId="0" xr:uid="{AFD3A6F1-21D5-4CC7-9292-D4B50CF21906}">
      <text>
        <r>
          <rPr>
            <sz val="9"/>
            <color indexed="81"/>
            <rFont val="Segoe UI"/>
            <family val="2"/>
          </rPr>
          <t>Research on the composition and distribution of the An. funestus group is needed as it is an important vector for both LF and malaria; The role of An. gambiae M and S molecular forms in malaria and/or LF transmission and how they interact is largely unknown; Large gaps in data from the eastern regions of Nigeria; Very little research done in the northwestern region, especially the Garki Project area; Need for widespread systematic sampling across the country; Need for standardized methods for sampling, collection, and species identification; Need for better linkages and partnerships between entomologists, parasitologists, national control programmes, and international donors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426151BC-E129-4815-BEBB-80ED8BED37AE}">
      <text>
        <r>
          <rPr>
            <sz val="9"/>
            <color indexed="81"/>
            <rFont val="Segoe UI"/>
            <family val="2"/>
          </rPr>
          <t>Open‐source large language models in action: A bioinformatics chatbot for PRIDE database</t>
        </r>
      </text>
    </comment>
    <comment ref="I2" authorId="0" shapeId="0" xr:uid="{CCBA53A5-F498-4054-903D-34B411B540AA}">
      <text>
        <r>
          <rPr>
            <sz val="9"/>
            <color indexed="81"/>
            <rFont val="Segoe UI"/>
            <family val="2"/>
          </rPr>
          <t>The paper is primarily about building an LLM-based chatbot for a proteomics database; vector databases are mentioned only as a component for indexing documentation, with no in-depth discussion of vector database technology, indexing methods, or system comparisons.</t>
        </r>
      </text>
    </comment>
    <comment ref="J2" authorId="0" shapeId="0" xr:uid="{C7C95408-1F0E-4C7E-A8A5-FA2B89052329}">
      <text>
        <r>
          <rPr>
            <sz val="9"/>
            <color indexed="81"/>
            <rFont val="Segoe UI"/>
            <family val="2"/>
          </rPr>
          <t>Presentation of a chatbot assistant infrastructure for the PRIDE proteomics database that simplifies user interactions with documentation and enables dataset search, using multiple open-source LLMs and vector-based representations.</t>
        </r>
      </text>
    </comment>
    <comment ref="K2" authorId="0" shapeId="0" xr:uid="{5C38E2C8-3AEE-40F4-9D62-FDCEEAFCE44E}">
      <text>
        <r>
          <rPr>
            <sz val="9"/>
            <color indexed="81"/>
            <rFont val="Segoe UI"/>
            <family val="2"/>
          </rPr>
          <t>The framework integrates multiple open-source LLMs (llama2, chatglm, mixtral, openhermes) with vector-based representations for documentation, a web service API, a web interface, an Elo-ranking benchmarking system for LLM evaluation, and a dataset recommendation system combining LLMs with PRIDE's Solr-based suggestion algorithm.</t>
        </r>
      </text>
    </comment>
    <comment ref="L2" authorId="0" shapeId="0" xr:uid="{6F9D7E6C-ACA8-40AB-B91F-B3F8128C0CF4}">
      <text>
        <r>
          <rPr>
            <sz val="9"/>
            <color indexed="81"/>
            <rFont val="Segoe UI"/>
            <family val="2"/>
          </rPr>
          <t>PRIDE; Solr; llama2; chatglm; mixtral; openhermes; Mascot; MaxQuant; quantms; ProteomeXchange</t>
        </r>
      </text>
    </comment>
    <comment ref="N2" authorId="0" shapeId="0" xr:uid="{ABE09440-8DBA-42AA-BAF7-6C7510AF78C8}">
      <text>
        <r>
          <rPr>
            <sz val="9"/>
            <color indexed="81"/>
            <rFont val="Segoe UI"/>
            <family val="2"/>
          </rPr>
          <t>Bioinformatics and proteomics, specifically documentation Q&amp;A and dataset discovery for the PRIDE mass spectrometry-based proteomics database</t>
        </r>
      </text>
    </comment>
    <comment ref="O2" authorId="0" shapeId="0" xr:uid="{E7372EB5-E2A7-4DEF-ADE5-9C63D39A126B}">
      <text>
        <r>
          <rPr>
            <sz val="9"/>
            <color indexed="81"/>
            <rFont val="Segoe UI"/>
            <family val="2"/>
          </rPr>
          <t>The authors built and deployed an open-source chatbot framework at EMBL-EBI that allows users to query PRIDE documentation and search for public datasets using multiple open-source LLMs. An Elo-ranking benchmarking system was used to evaluate LLM performance, and iterative benchmarking led to refined PRIDE documentation and improved model responses with fewer hallucinations. A dataset recommendation system combining LLMs with PRIDE's existing Solr-based suggestion algorithm was implemented to enhance dataset discoverability. The authors note that while they aimed for more analytical evaluation, they ultimately relied on human-based Elo-ranking and a quantitative cosine-similarity approach. The framework is designed to be modular and transferable to other bioinformatics and proteomics resources.</t>
        </r>
      </text>
    </comment>
    <comment ref="P2" authorId="0" shapeId="0" xr:uid="{4FDF498A-A637-40DE-902B-EC4ACB8FEFCF}">
      <text>
        <r>
          <rPr>
            <sz val="9"/>
            <color indexed="81"/>
            <rFont val="Segoe UI"/>
            <family val="2"/>
          </rPr>
          <t>The authors aimed to evaluate and benchmark LLMs more analytically but ultimately relied on a simple human evaluation framework based on Elo-ranking; The quantitative evaluation was limited to cosine similarity and two independent models</t>
        </r>
      </text>
    </comment>
    <comment ref="Q2" authorId="0" shapeId="0" xr:uid="{A5A7425B-7CA8-4514-888B-D338ED30D680}">
      <text>
        <r>
          <rPr>
            <sz val="9"/>
            <color indexed="81"/>
            <rFont val="Segoe UI"/>
            <family val="2"/>
          </rPr>
          <t>Plan to work with other bioinformatics resources at EMBL-EBI to deploy training and documentation materials; The framework could be adapted to other proteomics tools and services such as Mascot, MaxQuant, quantms, HUPO-PSI, or ProteomeXchange</t>
        </r>
      </text>
    </comment>
    <comment ref="H3" authorId="0" shapeId="0" xr:uid="{DCF5199E-3BEA-4756-A46E-3A221CF3F878}">
      <text>
        <r>
          <rPr>
            <sz val="9"/>
            <color indexed="81"/>
            <rFont val="Segoe UI"/>
            <family val="2"/>
          </rPr>
          <t>Vaxvec: The first web-based recombinant vaccine vector database and its data analysis</t>
        </r>
      </text>
    </comment>
    <comment ref="I3" authorId="0" shapeId="0" xr:uid="{B03A5058-D941-4116-BA2B-F0C558B19C4B}">
      <text>
        <r>
          <rPr>
            <sz val="9"/>
            <color indexed="81"/>
            <rFont val="Segoe UI"/>
            <family val="2"/>
          </rPr>
          <t>The paper uses the term 'vector' exclusively in the biological sense (viral, bacterial, parasitic carriers for vaccine antigens) and has no connection to vector databases, vector indexing, or similarity/nearest-neighbor search in the computer science sense.</t>
        </r>
      </text>
    </comment>
    <comment ref="J3" authorId="0" shapeId="0" xr:uid="{CD4A4B22-C012-4902-9970-C3020FA17012}">
      <text>
        <r>
          <rPr>
            <sz val="9"/>
            <color indexed="81"/>
            <rFont val="Segoe UI"/>
            <family val="2"/>
          </rPr>
          <t>Development of Vaxvec, the first web-based database for storing, classifying, and analyzing recombinant vaccine vectors (viral, bacterial, parasitic, fungal), the vaccines that use them, and associated protective antigens.</t>
        </r>
      </text>
    </comment>
    <comment ref="K3" authorId="0" shapeId="0" xr:uid="{D2A5ACEE-F4CF-472F-BF7B-4380A1EC9A02}">
      <text>
        <r>
          <rPr>
            <sz val="9"/>
            <color indexed="81"/>
            <rFont val="Segoe UI"/>
            <family val="2"/>
          </rPr>
          <t>Manual curation of literature data into a structured web-based database with user-friendly query interfaces; data stored in the Vaccine Ontology (VO) to support data exchange; statistical analysis of vector usage patterns across pathogens and cancers.</t>
        </r>
      </text>
    </comment>
    <comment ref="L3" authorId="0" shapeId="0" xr:uid="{924271E9-875C-4B85-B66D-4AC7A84D4FE9}">
      <text>
        <r>
          <rPr>
            <sz val="9"/>
            <color indexed="81"/>
            <rFont val="Segoe UI"/>
            <family val="2"/>
          </rPr>
          <t>Vaxvec; VIOLIN; Vaccine Ontology (VO)</t>
        </r>
      </text>
    </comment>
    <comment ref="N3" authorId="0" shapeId="0" xr:uid="{2E2C0CB7-5A54-4B60-8823-710996680F0E}">
      <text>
        <r>
          <rPr>
            <sz val="9"/>
            <color indexed="81"/>
            <rFont val="Segoe UI"/>
            <family val="2"/>
          </rPr>
          <t>Vaccinology and vaccine vector research</t>
        </r>
      </text>
    </comment>
    <comment ref="O3" authorId="0" shapeId="0" xr:uid="{18E9C625-ACDA-48A5-8DE6-7E8625357218}">
      <text>
        <r>
          <rPr>
            <sz val="9"/>
            <color indexed="81"/>
            <rFont val="Segoe UI"/>
            <family val="2"/>
          </rPr>
          <t>The paper presents Vaxvec as the first publicly available web-based database dedicated to recombinant vaccine vectors and their associated vaccines. It contains 59 vaccine vectors used in 196 recombinant vector vaccines against 66 pathogens and cancers, classified into 41 viral, 15 bacterial, 1 parasitic, and 1 fungal vector. Analysis reveals that double-stranded DNA viruses (herpesviruses, adenoviruses, poxviruses) are the most commonly used viral vectors, with 63 poxvirus-based recombinant vaccines identified. The database also collects 30 recombinant vector influenza vaccines and annotates over 60 protective antigens. The authors conclude that Vaxvec provides a timely resource for comparative understanding and rational design of recombinant vector vaccines.</t>
        </r>
      </text>
    </comment>
    <comment ref="P3" authorId="0" shapeId="0" xr:uid="{79154DAD-3F41-4C3A-BC6E-D363B52B3C96}">
      <text>
        <r>
          <rPr>
            <sz val="9"/>
            <color indexed="81"/>
            <rFont val="Segoe UI"/>
            <family val="2"/>
          </rPr>
          <t>The authors acknowledge they likely missed many vectors and vaccines reported in the literature despite manual curation efforts; The paper does not focus on analysis of differential host immune responses for different vectors and vaccines, such as vaccine-induced antibody titers</t>
        </r>
      </text>
    </comment>
    <comment ref="Q3" authorId="0" shapeId="0" xr:uid="{F433B3EE-2F75-48B7-A0A2-C5BBD080BD1A}">
      <text>
        <r>
          <rPr>
            <sz val="9"/>
            <color indexed="81"/>
            <rFont val="Segoe UI"/>
            <family val="2"/>
          </rPr>
          <t>Investigating computational methods such as ontology-based literature mining and meta-analysis to improve database annotations and updates; Focusing future efforts on host-side immune responses to vectors and vaccine administrations</t>
        </r>
      </text>
    </comment>
    <comment ref="H4" authorId="0" shapeId="0" xr:uid="{6B11D7FA-B557-4FE0-8158-8CD934E3D10C}">
      <text>
        <r>
          <rPr>
            <sz val="9"/>
            <color indexed="81"/>
            <rFont val="Segoe UI"/>
            <family val="2"/>
          </rPr>
          <t>BioVDB: biological vector database for high-throughput gene expression meta-analysis</t>
        </r>
      </text>
    </comment>
    <comment ref="I4" authorId="0" shapeId="0" xr:uid="{9E2C1519-1A8F-457B-B40A-781B53AA0E31}">
      <text>
        <r>
          <rPr>
            <sz val="9"/>
            <color indexed="81"/>
            <rFont val="Segoe UI"/>
            <family val="2"/>
          </rPr>
          <t>The paper proposes a domain-specific vector database (BioVDB) and demonstrates similarity search over gene expression vectors, but the main subject is the biological application (gene expression meta-analysis) rather than vector database technology itself; no indexing methods, system comparisons, or performance benchmarks of the vector database are discussed.</t>
        </r>
      </text>
    </comment>
    <comment ref="J4" authorId="0" shapeId="0" xr:uid="{0E34FE92-E924-4C01-834A-EBCB32E7FBAE}">
      <text>
        <r>
          <rPr>
            <sz val="9"/>
            <color indexed="81"/>
            <rFont val="Segoe UI"/>
            <family val="2"/>
          </rPr>
          <t>Proposing BioVDB, a vector database for storing and analyzing gene expression data from GEO microarray platforms, enabling similarity search, meta-analysis by cohort (age, sex, tissue), and integration with AI/ML tools.</t>
        </r>
      </text>
    </comment>
    <comment ref="K4" authorId="0" shapeId="0" xr:uid="{F617DABF-6305-4F4B-BA2B-B119FD620CC1}">
      <text>
        <r>
          <rPr>
            <sz val="9"/>
            <color indexed="81"/>
            <rFont val="Segoe UI"/>
            <family val="2"/>
          </rPr>
          <t>The authors built a vector database storing 438,562 samples from eight microarray GEO platforms, used the Automatic Label Extraction (ALE) tool to extract sample metadata (age, sex, tissue/cell-line) from GEO metadata, and demonstrated similarity search for querying, inferring missing labels, and rapid similarity analysis.</t>
        </r>
      </text>
    </comment>
    <comment ref="L4" authorId="0" shapeId="0" xr:uid="{A65A160D-0784-4575-86DE-7662BA678934}">
      <text>
        <r>
          <rPr>
            <sz val="9"/>
            <color indexed="81"/>
            <rFont val="Segoe UI"/>
            <family val="2"/>
          </rPr>
          <t>BioVDB; GEO; ArrayExpress; SRA; ALE; BTO</t>
        </r>
      </text>
    </comment>
    <comment ref="N4" authorId="0" shapeId="0" xr:uid="{439AA647-E37E-462C-B339-AC01BE4B71DB}">
      <text>
        <r>
          <rPr>
            <sz val="9"/>
            <color indexed="81"/>
            <rFont val="Segoe UI"/>
            <family val="2"/>
          </rPr>
          <t>Gene expression meta-analysis, bioinformatics, and biomedical AI/ML</t>
        </r>
      </text>
    </comment>
    <comment ref="O4" authorId="0" shapeId="0" xr:uid="{25C7D30B-D080-4F1B-8B1E-53B3A011A360}">
      <text>
        <r>
          <rPr>
            <sz val="9"/>
            <color indexed="81"/>
            <rFont val="Segoe UI"/>
            <family val="2"/>
          </rPr>
          <t>The authors present BioVDB as the first vector database specifically designed for gene expression experiments, storing 438,562 samples from eight microarray GEO platforms. They demonstrate that the database enables efficient similarity search over gene expression vectors, which can be used to identify and infer missing sample labels and perform rapid similarity analysis. The ALE-based label extraction provides relatively high annotation accuracy but causes generalization in heterogeneous tissues like blood. Only 21,853 of 168,570 GPL570 samples have complete labels (age, sex, tissue), limiting the scope of cohort-based analyses. The database provides a ready-to-use vectorized format for deep learning models and standardized metadata for meta-analysis.</t>
        </r>
      </text>
    </comment>
    <comment ref="P4" authorId="0" shapeId="0" xr:uid="{40C49524-BE0E-4B5E-BD17-D19EE012DF1A}">
      <text>
        <r>
          <rPr>
            <sz val="9"/>
            <color indexed="81"/>
            <rFont val="Segoe UI"/>
            <family val="2"/>
          </rPr>
          <t>ALE's conservative heuristic string matching causes generalization in highly heterogeneous tissues like blood, scattering samples sparsely across vector space; Only 21,853 of 168,570 GPL570 samples have complete labels (age, sex, tissue), limiting cohort-based analyses; Distinguishing healthy controls from case samples within the same experiment is not adequately addressed by current keyword-based approaches; Cross-platform gene annotation and data standardization remain challenging, especially for sequencing data</t>
        </r>
      </text>
    </comment>
    <comment ref="Q4" authorId="0" shapeId="0" xr:uid="{3567D0F2-6CA1-4C94-B033-0512927E3AB9}">
      <text>
        <r>
          <rPr>
            <sz val="9"/>
            <color indexed="81"/>
            <rFont val="Segoe UI"/>
            <family val="2"/>
          </rPr>
          <t>Need for more sophisticated text mining solutions to distinguish samples in experiments with multiple interventions; Further work needed to fill in missing labels for the large proportion of unlabeled samples; No obvious best solution for standardizing sequencing data across platforms</t>
        </r>
      </text>
    </comment>
    <comment ref="H5" authorId="0" shapeId="0" xr:uid="{A481860C-4861-449B-B34C-95BF46E54390}">
      <text>
        <r>
          <rPr>
            <sz val="9"/>
            <color indexed="81"/>
            <rFont val="Segoe UI"/>
            <family val="2"/>
          </rPr>
          <t>SeeHaBITaT: A server on bioinformatics applications for Tospoviruses and other species</t>
        </r>
      </text>
    </comment>
    <comment ref="I5" authorId="0" shapeId="0" xr:uid="{7A8FFE5F-D18B-4386-9906-6CD082839992}">
      <text>
        <r>
          <rPr>
            <sz val="9"/>
            <color indexed="81"/>
            <rFont val="Segoe UI"/>
            <family val="2"/>
          </rPr>
          <t>The paper is entirely about a bioinformatics web server for plant virus (Tospovirus) research and does not mention vector databases, vector indexing, or similarity/nearest-neighbor search in any capacity.</t>
        </r>
      </text>
    </comment>
    <comment ref="J5" authorId="0" shapeId="0" xr:uid="{815532D4-A33F-4A40-AD90-DD5F9C3CE8A8}">
      <text>
        <r>
          <rPr>
            <sz val="9"/>
            <color indexed="81"/>
            <rFont val="Segoe UI"/>
            <family val="2"/>
          </rPr>
          <t>Development of a web-based bioinformatics server (SeeHaBITaT) providing Tospovirus-specific databases and computational tools for the plant virology community.</t>
        </r>
      </text>
    </comment>
    <comment ref="K5" authorId="0" shapeId="0" xr:uid="{44A736EA-5C90-4BE2-A001-98C0905592F1}">
      <text>
        <r>
          <rPr>
            <sz val="9"/>
            <color indexed="81"/>
            <rFont val="Segoe UI"/>
            <family val="2"/>
          </rPr>
          <t>Construction of a web server hosting two Tospovirus-specific databases (Togribase and MOLBIT) and two additional applications (SRMBIT and SS with PDB) to support sequence, structural, and molecular biology analysis of Tospoviruses.</t>
        </r>
      </text>
    </comment>
    <comment ref="N5" authorId="0" shapeId="0" xr:uid="{DB4695CE-9F58-4213-8733-4A84152593DF}">
      <text>
        <r>
          <rPr>
            <sz val="9"/>
            <color indexed="81"/>
            <rFont val="Segoe UI"/>
            <family val="2"/>
          </rPr>
          <t>Plant virology and bioinformatics (Tospovirus research)</t>
        </r>
      </text>
    </comment>
    <comment ref="O5" authorId="0" shapeId="0" xr:uid="{2BD73FA9-8D1C-4936-8081-5A6A3CDF05DB}">
      <text>
        <r>
          <rPr>
            <sz val="9"/>
            <color indexed="81"/>
            <rFont val="Segoe UI"/>
            <family val="2"/>
          </rPr>
          <t>The paper describes the development of SeeHaBITaT, a web-based server providing bioinformatics tools exclusively for Tospovirus research. The server hosts two Tospovirus-specific databases (Togribase and MOLBIT) along with two additional applications (SRMBIT and SS with PDB). The server aims to give the scientific community a comprehensive platform covering Tospovirus diagnosis, molecular biology, sequence and structural analysis. The authors note that no exclusive web resource for Tospovirus existed prior to this work. Future extensions planned include tertiary structure prediction, epitope identification, protein-protein interaction, and evolutionary studies.</t>
        </r>
      </text>
    </comment>
    <comment ref="Q5" authorId="0" shapeId="0" xr:uid="{F95EFC5D-C329-46BF-A144-167B78B57127}">
      <text>
        <r>
          <rPr>
            <sz val="9"/>
            <color indexed="81"/>
            <rFont val="Segoe UI"/>
            <family val="2"/>
          </rPr>
          <t>Extending the server with tertiary structure prediction; Extending the server with epitope identification; Extending the server with protein-protein interaction analysis; Extending the server with evolutionary studies</t>
        </r>
      </text>
    </comment>
    <comment ref="H6" authorId="0" shapeId="0" xr:uid="{D0F1DF73-AA61-4D0E-A677-4FB70233AF94}">
      <text>
        <r>
          <rPr>
            <sz val="9"/>
            <color indexed="81"/>
            <rFont val="Segoe UI"/>
            <family val="2"/>
          </rPr>
          <t>A vector database solution for rational design of CRISPR defense-avoidant phage therapy</t>
        </r>
      </text>
    </comment>
    <comment ref="I6" authorId="0" shapeId="0" xr:uid="{CA0F6484-5CE0-498A-A92F-8EAB1D414E9A}">
      <text>
        <r>
          <rPr>
            <sz val="9"/>
            <color indexed="81"/>
            <rFont val="Segoe UI"/>
            <family val="2"/>
          </rPr>
          <t>The vector database with HNSW indexing is the core technical method proposed (VDPhage) and is discussed in depth (sublinear complexity, embedding design, 26x speedup over BLAST), but the main subject of the paper is phage therapy design and CRISPR defense avoidance rather than vector database technology itself.</t>
        </r>
      </text>
    </comment>
    <comment ref="J6" authorId="0" shapeId="0" xr:uid="{41B72BB5-5D60-44BB-9DAC-1CEA38ED139E}">
      <text>
        <r>
          <rPr>
            <sz val="9"/>
            <color indexed="81"/>
            <rFont val="Segoe UI"/>
            <family val="2"/>
          </rPr>
          <t>Designing a computational method to select phages in silico that can bypass bacterial CRISPR-Cas defense mechanisms for rational phage therapy design, with a vector database-based approach (VDPhage) compared against a BLAST-based baseline.</t>
        </r>
      </text>
    </comment>
    <comment ref="K6" authorId="0" shapeId="0" xr:uid="{9A506052-58B4-4A99-ACF5-43338CA3DBF9}">
      <text>
        <r>
          <rPr>
            <sz val="9"/>
            <color indexed="81"/>
            <rFont val="Segoe UI"/>
            <family val="2"/>
          </rPr>
          <t>A vector database built from phage protospacer sequences using k-mer frequency embeddings and HNSW indexing for sublinear similarity search, compared against a BLAST-based local alignment baseline. The vector database approach enables fast retrieval of phages whose protospacer profiles are most dissimilar to the CRISPR spacers of a target bacterial infection.</t>
        </r>
      </text>
    </comment>
    <comment ref="L6" authorId="0" shapeId="0" xr:uid="{1E48A48C-2655-42FB-97AD-1AB57730EC34}">
      <text>
        <r>
          <rPr>
            <sz val="9"/>
            <color indexed="81"/>
            <rFont val="Segoe UI"/>
            <family val="2"/>
          </rPr>
          <t>VDPhage; BLAST; CRISPRCasFinder; CRISPRCasTyper; CRISPRloci; MCAAT; Crass; PhageCocktail</t>
        </r>
      </text>
    </comment>
    <comment ref="M6" authorId="0" shapeId="0" xr:uid="{130F2F42-5BC6-4029-873B-DD6E707AA801}">
      <text>
        <r>
          <rPr>
            <sz val="9"/>
            <color indexed="81"/>
            <rFont val="Segoe UI"/>
            <family val="2"/>
          </rPr>
          <t>HNSW</t>
        </r>
      </text>
    </comment>
    <comment ref="N6" authorId="0" shapeId="0" xr:uid="{10B5EDB2-1C81-4F20-945B-FD744D08166E}">
      <text>
        <r>
          <rPr>
            <sz val="9"/>
            <color indexed="81"/>
            <rFont val="Segoe UI"/>
            <family val="2"/>
          </rPr>
          <t>Phage therapy design and CRISPR defense avoidance in bioinformatics</t>
        </r>
      </text>
    </comment>
    <comment ref="O6" authorId="0" shapeId="0" xr:uid="{198B2C9D-561F-4C21-9A08-6C1A6D0470A3}">
      <text>
        <r>
          <rPr>
            <sz val="9"/>
            <color indexed="81"/>
            <rFont val="Segoe UI"/>
            <family val="2"/>
          </rPr>
          <t>The paper proposes two algorithms for CRISPR-avoidant phage selection: a BLAST-based baseline and the vector database-powered VDPhage. VDPhage, built on HNSW indexing with k-mer frequency embeddings, demonstrates sublinear query complexity and operates 26 times faster per record compared to the BLAST method. The approach was validated on a simulated Clostridium difficile outbreak scenario, chosen for its clinical significance, near-universal CRISPR-Cas presence, and established phage therapy response. The authors deliberately chose the simpler k-mer frequency embedding over learned deep-learning embeddings to prioritize speed and practicality for large-scale screening. The paper positions VDPhage as the first dedicated in silico tool for CRISPR-avoidant phage cocktail design.</t>
        </r>
      </text>
    </comment>
    <comment ref="P6" authorId="0" shapeId="0" xr:uid="{EF851D8A-BC5C-46DB-A26B-4DCC48DEFA6E}">
      <text>
        <r>
          <rPr>
            <sz val="9"/>
            <color indexed="81"/>
            <rFont val="Segoe UI"/>
            <family val="2"/>
          </rPr>
          <t>VDPhage does not cover other bacterial immune systems such as BrEx or restriction-modification systems; Many pathogenic bacteria lack functional CRISPR-Cas systems (e.g., only 2.9% of S. aureus strains), limiting the applicability of CRISPR avoidance as a design step; The algorithm requires a set of assembled phage genomes for database construction; Specific testing on plasmids harboring CRISPR arrays was not conducted; Co-evolution between phages and bacteria can cause phages to lose potency, requiring continuous database updates; The k-mer frequency embedding approach, while simple and fast, does not capture higher-order sequence features that learned embeddings could provide</t>
        </r>
      </text>
    </comment>
    <comment ref="Q6" authorId="0" shapeId="0" xr:uid="{A8A9344B-EDBC-4285-A9C1-BE36A012008D}">
      <text>
        <r>
          <rPr>
            <sz val="9"/>
            <color indexed="81"/>
            <rFont val="Segoe UI"/>
            <family val="2"/>
          </rPr>
          <t>Validation through experimental frameworks including bacterial infection models, plaque assays, qPCR, flow cytometry, and animal models; Evaluation of synergistic potential of designed phage cocktails in reducing bacterial load; Integration of avoidance of other bacterial immune systems (BrEx, restriction-modification) into a unified phage therapy design pipeline; Testing on plasmids harboring CRISPR arrays; Exploration of more complex learned embeddings (DNA language models, capsule networks) for sequence representation; Continuous updating of phage databases based on novel clinical data to address co-evolution</t>
        </r>
      </text>
    </comment>
    <comment ref="H7" authorId="0" shapeId="0" xr:uid="{6C25319B-5C2A-41DB-83C4-A04169848A4B}">
      <text>
        <r>
          <rPr>
            <sz val="9"/>
            <color indexed="81"/>
            <rFont val="Segoe UI"/>
            <family val="2"/>
          </rPr>
          <t>SynVectorDB: embedding-based retrieval system for synthetic biology parts</t>
        </r>
      </text>
    </comment>
    <comment ref="I7" authorId="0" shapeId="0" xr:uid="{1A7552A2-B09F-427B-B7E4-95E25F14B367}">
      <text>
        <r>
          <rPr>
            <sz val="9"/>
            <color indexed="81"/>
            <rFont val="Segoe UI"/>
            <family val="2"/>
          </rPr>
          <t>The paper is primarily a domain-specific application in synthetic biology that uses a vector database as an underlying tool for semantic search; it does not propose, analyze, benchmark, or deeply examine vector database technology or indexing methods.</t>
        </r>
      </text>
    </comment>
    <comment ref="J7" authorId="0" shapeId="0" xr:uid="{CF4FB602-C15F-4F97-BCC1-91EE3E5D34FC}">
      <text>
        <r>
          <rPr>
            <sz val="9"/>
            <color indexed="81"/>
            <rFont val="Segoe UI"/>
            <family val="2"/>
          </rPr>
          <t>Development of an embedding-based retrieval system (SynVectorDB) for discovering and organizing synthetic biology parts from heterogeneous repositories, addressing challenges of inconsistent data organization and limited semantic search capabilities.</t>
        </r>
      </text>
    </comment>
    <comment ref="K7" authorId="0" shapeId="0" xr:uid="{6BE42F1B-5573-4833-BDF9-A99B54CEDED3}">
      <text>
        <r>
          <rPr>
            <sz val="9"/>
            <color indexed="81"/>
            <rFont val="Segoe UI"/>
            <family val="2"/>
          </rPr>
          <t>Integration of 19,850 biological parts from multiple sources with systematic curation protocols, a three-level hierarchical classification system, and BGE-M3 multilingual embeddings within a scalable vector database architecture to enable semantic similarity matching for part retrieval.</t>
        </r>
      </text>
    </comment>
    <comment ref="L7" authorId="0" shapeId="0" xr:uid="{1981EB25-5C4C-4B48-B6E6-C7CAF4E5EA64}">
      <text>
        <r>
          <rPr>
            <sz val="9"/>
            <color indexed="81"/>
            <rFont val="Segoe UI"/>
            <family val="2"/>
          </rPr>
          <t>SynVectorDB; BGE-M3; Addgene; iGEM Registry</t>
        </r>
      </text>
    </comment>
    <comment ref="N7" authorId="0" shapeId="0" xr:uid="{7F0E44AF-B038-4F9F-8B50-72E726A7223D}">
      <text>
        <r>
          <rPr>
            <sz val="9"/>
            <color indexed="81"/>
            <rFont val="Segoe UI"/>
            <family val="2"/>
          </rPr>
          <t>Synthetic biology part discovery and retrieval</t>
        </r>
      </text>
    </comment>
    <comment ref="O7" authorId="0" shapeId="0" xr:uid="{0913B99A-AB50-4342-A434-10C1E2B03B61}">
      <text>
        <r>
          <rPr>
            <sz val="9"/>
            <color indexed="81"/>
            <rFont val="Segoe UI"/>
            <family val="2"/>
          </rPr>
          <t>The authors developed SynVectorDB, which integrates 19,850 biological parts from multiple sources and applies systematic curation to achieve verified status for 7,656 parts. A three-level hierarchical classification system organizes parts into functionally coherent categories. The system employs BGE-M3 multilingual embeddings within a vector database architecture for semantic similarity matching, which the authors state significantly outperforms keyword-based retrieval. The dual deployment architecture provides cloud-based performance alongside open-source accessibility, and the system maintains SBOL3 compatibility.</t>
        </r>
      </text>
    </comment>
    <comment ref="P7" authorId="0" shapeId="0" xr:uid="{9BA6AD4A-40DF-418F-A543-CD58DFD3EAB1}">
      <text>
        <r>
          <rPr>
            <sz val="9"/>
            <color indexed="81"/>
            <rFont val="Segoe UI"/>
            <family val="2"/>
          </rPr>
          <t>Current records prioritize metadata, sequence, and provenance signals; comprehensive quantitative characterization is not yet included; SO mapping coverage is not yet broad enough</t>
        </r>
      </text>
    </comment>
    <comment ref="Q7" authorId="0" shapeId="0" xr:uid="{F77A56A9-BA73-4CD4-AAA5-2BDBA1ABDC84}">
      <text>
        <r>
          <rPr>
            <sz val="9"/>
            <color indexed="81"/>
            <rFont val="Segoe UI"/>
            <family val="2"/>
          </rPr>
          <t>Expanding SBOL features (annotated features, constraints, provenance); Broadening SO mapping coverage; Enabling community-contributed characterization data</t>
        </r>
      </text>
    </comment>
    <comment ref="H8" authorId="0" shapeId="0" xr:uid="{3527AFC5-2086-44FE-9117-4B7B986E8F07}">
      <text>
        <r>
          <rPr>
            <sz val="9"/>
            <color indexed="81"/>
            <rFont val="Segoe UI"/>
            <family val="2"/>
          </rPr>
          <t>BeanGPT: a domain-specific retrieval-augmented generation system for Phaseolus vulgaris research</t>
        </r>
      </text>
    </comment>
    <comment ref="I8" authorId="0" shapeId="0" xr:uid="{1FA3693C-6937-40C9-89C6-AA14EBC17953}">
      <text>
        <r>
          <rPr>
            <sz val="9"/>
            <color indexed="81"/>
            <rFont val="Segoe UI"/>
            <family val="2"/>
          </rPr>
          <t>The paper is primarily about a domain-specific RAG system for plant breeding research; a vector database is mentioned only as one component for semantic retrieval, with no discussion of vector database technology, specific systems, indexing methods, or performance characteristics of the vector search layer.</t>
        </r>
      </text>
    </comment>
    <comment ref="J8" authorId="0" shapeId="0" xr:uid="{F8C44F11-F55B-4661-A4C8-8ADEC21CE35E}">
      <text>
        <r>
          <rPr>
            <sz val="9"/>
            <color indexed="81"/>
            <rFont val="Segoe UI"/>
            <family val="2"/>
          </rPr>
          <t>A domain-specific retrieval-augmented generation (RAG) system (BeanGPT) for common bean (Phaseolus vulgaris) research that integrates peer-reviewed literature, structured agronomic trial data, climate projections, and genomic databases to provide citation-backed answers to natural language queries from breeders and researchers.</t>
        </r>
      </text>
    </comment>
    <comment ref="K8" authorId="0" shapeId="0" xr:uid="{D10A3FBB-D861-407C-942A-CA0DC88F469F}">
      <text>
        <r>
          <rPr>
            <sz val="9"/>
            <color indexed="81"/>
            <rFont val="Segoe UI"/>
            <family val="2"/>
          </rPr>
          <t>RAG architecture combining semantic retrieval from a vector database, intent-based query routing, structured parameter extraction, an O(1) genomic index for gene/protein identifier validation, a FastAPI backend with Server-Sent Events for concurrent users, and automated Plotly code generation for interactive visualizations.</t>
        </r>
      </text>
    </comment>
    <comment ref="N8" authorId="0" shapeId="0" xr:uid="{CD1416C5-93F6-4D0E-9B76-AC00314DD410}">
      <text>
        <r>
          <rPr>
            <sz val="9"/>
            <color indexed="81"/>
            <rFont val="Segoe UI"/>
            <family val="2"/>
          </rPr>
          <t>Plant breeding, genomics, and agricultural research (Phaseolus vulgaris / common bean)</t>
        </r>
      </text>
    </comment>
    <comment ref="O8" authorId="0" shapeId="0" xr:uid="{D5B4390A-C770-4C04-B242-062E395D9340}">
      <text>
        <r>
          <rPr>
            <sz val="9"/>
            <color indexed="81"/>
            <rFont val="Segoe UI"/>
            <family val="2"/>
          </rPr>
          <t>BeanGPT was implemented as a streaming web interface with an asynchronous backend and evaluated through beta testing. The beta testing demonstrated strong retrieval relevance, low response latency, reliable gene verification via the O(1) genomic index, and high citation precision. The system successfully integrates heterogeneous knowledge sources (literature, trial data, climate projections, genomic databases) into a unified conversational interface. However, the authors explicitly note that the evaluation is preliminary, based on a small beta sample, and that large-scale testing with independent annotators and standardized benchmarking is still required to fully validate the findings.</t>
        </r>
      </text>
    </comment>
    <comment ref="P8" authorId="0" shapeId="0" xr:uid="{FF1EF9B9-05EB-4558-A5BF-2C5F151E1548}">
      <text>
        <r>
          <rPr>
            <sz val="9"/>
            <color indexed="81"/>
            <rFont val="Segoe UI"/>
            <family val="2"/>
          </rPr>
          <t>Knowledge is bounded by the corpus; recent publications (last 3-6 months) may not be indexed due to processing lag; Unpublished trial data or proprietary breeding records remain inaccessible unless explicitly integrated; Complex multi-step queries requiring reasoning across disparate information sources may exceed current capabilities; Interpreting contradictory findings across studies, assessing study quality, or providing nuanced context about experimental limitations remains challenging; Corpus is predominantly English-language; research published in Spanish, Portuguese, or French may be underrepresented; Climate projections and trial data become outdated as new observations accumulate, requiring data update pipelines and version control; Evaluation is preliminary, based on a small beta sample; large-scale testing with independent annotators and standardized benchmarking is required</t>
        </r>
      </text>
    </comment>
    <comment ref="Q8" authorId="0" shapeId="0" xr:uid="{41CBFF44-DC5E-4F66-8365-8AD9BA2E9A4A}">
      <text>
        <r>
          <rPr>
            <sz val="9"/>
            <color indexed="81"/>
            <rFont val="Segoe UI"/>
            <family val="2"/>
          </rPr>
          <t>Extending the system's reasoning capabilities through agentic workflows where multiple specialized modules collaborate through iterative reasoning steps; Incorporating multimodal data types (images, sequences); Refining evaluation frameworks to ensure robust performance across diverse query types; Large-scale testing with independent annotators and standardized benchmarking to fully validate findings</t>
        </r>
      </text>
    </comment>
  </commentList>
</comments>
</file>

<file path=xl/sharedStrings.xml><?xml version="1.0" encoding="utf-8"?>
<sst xmlns="http://schemas.openxmlformats.org/spreadsheetml/2006/main" count="192" uniqueCount="133">
  <si>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</si>
  <si>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</si>
  <si>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</si>
  <si>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</si>
  <si>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</si>
  <si>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</si>
  <si>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</si>
  <si>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</si>
  <si>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</si>
  <si>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</si>
  <si>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</si>
  <si>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</si>
  <si>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</si>
  <si>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</si>
  <si>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</si>
  <si>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</si>
  <si>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</si>
  <si>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</si>
  <si>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W4388982114</t>
  </si>
  <si>
    <t>https://openalex.org/works/W4388982114</t>
  </si>
  <si>
    <t>C:\Users\Dominik\Documents\arm\pdf\open_access\W4388982114.pdf</t>
  </si>
  <si>
    <t>True</t>
  </si>
  <si>
    <t>2023-11-24</t>
  </si>
  <si>
    <t>low</t>
  </si>
  <si>
    <t>Plasmids in environmental microbes: An annotated selection of World Wide Web sites relevant to the topics in environmental microbiology</t>
  </si>
  <si>
    <t>The paper is about plasmids in environmental microbes; the 'vector database' mentioned is Addgene's molecular biology resource for plasmid backbones, not a computer science vector database for similarity or nearest-neighbor search.</t>
  </si>
  <si>
    <t>The composition and distribution of plasmids in environmental microbes, with a broader view than the typical focus on antibiotic resistance, and a compilation of plasmid/vector resources and databases.</t>
  </si>
  <si>
    <t>Compilation of links and references to plasmid-related literature, databases, and resources (e.g., Addgene Vector Database, NCBI, EBI plasmid database, SnapGene).</t>
  </si>
  <si>
    <t>Addgene Vector Database</t>
  </si>
  <si>
    <t>Molecular biology / biochemistry (plasmid and cloning vector research)</t>
  </si>
  <si>
    <t>The paper compiles references and links to resources related to plasmids in environmental microbes, noting that most plasmid studies focus on antibiotic resistance, which accounts for only 1% of plasmid genes. It highlights the Addgene Vector Database with 4,399 entries on vector backbones and points to various other plasmid sequence databases and annotation tools. The paper serves as a curated list of resources for plasmid detection, annotation, and engineering rather than presenting original experimental results. No quantitative findings or benchmarks are reported.</t>
  </si>
  <si>
    <t>False</t>
  </si>
  <si>
    <t>W1990158428</t>
  </si>
  <si>
    <t>https://openalex.org/works/W1990158428</t>
  </si>
  <si>
    <t>C:\Users\Dominik\Documents\arm\pdf\open_access\W1990158428.pdf</t>
  </si>
  <si>
    <t>2011-12-05</t>
  </si>
  <si>
    <t>Nigeria Anopheles Vector Database: An Overview of 100 Years' Research</t>
  </si>
  <si>
    <t>The paper uses 'vector' in the entomological sense (disease-transmitting mosquitoes) and 'database' as a compilation of published entomological records; it has no connection to vector database technology, vector indexing, or similarity/nearest-neighbor search.</t>
  </si>
  <si>
    <t>A comprehensive collation of 100 years of published data (1900–2010) on the spatial distribution, species composition, sampling methods, insecticide resistance, and parasite prevalence of Anopheles mosquito vectors of malaria and lymphatic filariasis in Nigeria.</t>
  </si>
  <si>
    <t>All 110 relevant publications were collated into a georeferenced database recording locality, latitude/longitude, time period, species, abundance, sampling/collection methods, morphological and molecular identification methods, insecticide resistance status (including kdr allele), and parasite prevalence rates.</t>
  </si>
  <si>
    <t>The collation of 110 publications identified 484,747 Anopheles mosquitoes across 632 spatially unique descriptions at 142 georeferenced locations in Nigeria. The most abundant vectors were the An. gambiae complex (65.2%) and An. funestus complex (17.3%), with molecular forms M and S identified at 120 locations. Insecticide resistance to pyrethroids and organochlorines was widespread across 45 locations, particularly in the southwestern region. The data revealed a geographical shift in research focus from the northern region in the 20th century to the southern region in recent decades, with large gaps in the eastern regions. The database provides a baseline for malaria and LF vector control programmes in Nigeria.</t>
  </si>
  <si>
    <t>Total number of mosquitoes collected is underrepresented as numbers were not available in some studies; Species abundance was not specified in some studies; Very few studies were carried out in the same locations in different years or seasons, restricting analysis and comparisons over time; Great variability in reporting of mosquito sampling and collection methods over time; Most missing data were from earlier studies (1900–1963) when few identification options existed; Few records on LF parasite prevalence make it difficult for comparisons between studies, locations, and species</t>
  </si>
  <si>
    <t>Research on the composition and distribution of the An. funestus group is needed as it is an important vector for both LF and malaria; The role of An. gambiae M and S molecular forms in malaria and/or LF transmission and how they interact is largely unknown; Large gaps in data from the eastern regions of Nigeria; Very little research done in the northwestern region, especially the Garki Project area; Need for widespread systematic sampling across the country; Need for standardized methods for sampling, collection, and species identification; Need for better linkages and partnerships between entomologists, parasitologists, national control programmes, and international donors</t>
  </si>
  <si>
    <t>W4393363427</t>
  </si>
  <si>
    <t>W1894620164</t>
  </si>
  <si>
    <t>W4392593432</t>
  </si>
  <si>
    <t>W2297811497</t>
  </si>
  <si>
    <t>W4417357338</t>
  </si>
  <si>
    <t>W7124288306</t>
  </si>
  <si>
    <t>W7169671164</t>
  </si>
  <si>
    <t>https://openalex.org/works/W4393363427</t>
  </si>
  <si>
    <t>https://openalex.org/works/W1894620164</t>
  </si>
  <si>
    <t>https://openalex.org/works/W4392593432</t>
  </si>
  <si>
    <t>https://openalex.org/works/W2297811497</t>
  </si>
  <si>
    <t>https://openalex.org/works/W4417357338</t>
  </si>
  <si>
    <t>https://openalex.org/works/W7124288306</t>
  </si>
  <si>
    <t>https://openalex.org/works/W7169671164</t>
  </si>
  <si>
    <t>C:\Users\Dominik\Documents\arm\pdf\open_access\W4393363427.pdf</t>
  </si>
  <si>
    <t>C:\Users\Dominik\Documents\arm\pdf\not_open_access\W1894620164.pdf</t>
  </si>
  <si>
    <t>C:\Users\Dominik\Documents\arm\pdf\open_access\W4392593432.pdf</t>
  </si>
  <si>
    <t>C:\Users\Dominik\Documents\arm\pdf\open_access\W2297811497.pdf</t>
  </si>
  <si>
    <t>C:\Users\Dominik\Documents\arm\pdf\open_access\W4417357338.pdf</t>
  </si>
  <si>
    <t>C:\Users\Dominik\Documents\arm\pdf\open_access\W7124288306.pdf</t>
  </si>
  <si>
    <t>C:\Users\Dominik\Documents\arm\pdf\open_access\W7169671164.pdf</t>
  </si>
  <si>
    <t>2024-03-31</t>
  </si>
  <si>
    <t>2015-09-26</t>
  </si>
  <si>
    <t>2024-03-08</t>
  </si>
  <si>
    <t>2016-03-12</t>
  </si>
  <si>
    <t>2025-12-16</t>
  </si>
  <si>
    <t>2025-12-15</t>
  </si>
  <si>
    <t>2026-07-19</t>
  </si>
  <si>
    <t>middle</t>
  </si>
  <si>
    <t>Open‐source large language models in action: A bioinformatics chatbot for PRIDE database</t>
  </si>
  <si>
    <t>Vaxvec: The first web-based recombinant vaccine vector database and its data analysis</t>
  </si>
  <si>
    <t>BioVDB: biological vector database for high-throughput gene expression meta-analysis</t>
  </si>
  <si>
    <t>SeeHaBITaT: A server on bioinformatics applications for Tospoviruses and other species</t>
  </si>
  <si>
    <t>A vector database solution for rational design of CRISPR defense-avoidant phage therapy</t>
  </si>
  <si>
    <t>SynVectorDB: embedding-based retrieval system for synthetic biology parts</t>
  </si>
  <si>
    <t>BeanGPT: a domain-specific retrieval-augmented generation system for Phaseolus vulgaris research</t>
  </si>
  <si>
    <t>The paper is primarily about building an LLM-based chatbot for a proteomics database; vector databases are mentioned only as a component for indexing documentation, with no in-depth discussion of vector database technology, indexing methods, or system comparisons.</t>
  </si>
  <si>
    <t>The paper uses the term 'vector' exclusively in the biological sense (viral, bacterial, parasitic carriers for vaccine antigens) and has no connection to vector databases, vector indexing, or similarity/nearest-neighbor search in the computer science sense.</t>
  </si>
  <si>
    <t>The paper proposes a domain-specific vector database (BioVDB) and demonstrates similarity search over gene expression vectors, but the main subject is the biological application (gene expression meta-analysis) rather than vector database technology itself; no indexing methods, system comparisons, or performance benchmarks of the vector database are discussed.</t>
  </si>
  <si>
    <t>The paper is entirely about a bioinformatics web server for plant virus (Tospovirus) research and does not mention vector databases, vector indexing, or similarity/nearest-neighbor search in any capacity.</t>
  </si>
  <si>
    <t>The vector database with HNSW indexing is the core technical method proposed (VDPhage) and is discussed in depth (sublinear complexity, embedding design, 26x speedup over BLAST), but the main subject of the paper is phage therapy design and CRISPR defense avoidance rather than vector database technology itself.</t>
  </si>
  <si>
    <t>The paper is primarily a domain-specific application in synthetic biology that uses a vector database as an underlying tool for semantic search; it does not propose, analyze, benchmark, or deeply examine vector database technology or indexing methods.</t>
  </si>
  <si>
    <t>The paper is primarily about a domain-specific RAG system for plant breeding research; a vector database is mentioned only as one component for semantic retrieval, with no discussion of vector database technology, specific systems, indexing methods, or performance characteristics of the vector search layer.</t>
  </si>
  <si>
    <t>Presentation of a chatbot assistant infrastructure for the PRIDE proteomics database that simplifies user interactions with documentation and enables dataset search, using multiple open-source LLMs and vector-based representations.</t>
  </si>
  <si>
    <t>Development of Vaxvec, the first web-based database for storing, classifying, and analyzing recombinant vaccine vectors (viral, bacterial, parasitic, fungal), the vaccines that use them, and associated protective antigens.</t>
  </si>
  <si>
    <t>Proposing BioVDB, a vector database for storing and analyzing gene expression data from GEO microarray platforms, enabling similarity search, meta-analysis by cohort (age, sex, tissue), and integration with AI/ML tools.</t>
  </si>
  <si>
    <t>Development of a web-based bioinformatics server (SeeHaBITaT) providing Tospovirus-specific databases and computational tools for the plant virology community.</t>
  </si>
  <si>
    <t>Designing a computational method to select phages in silico that can bypass bacterial CRISPR-Cas defense mechanisms for rational phage therapy design, with a vector database-based approach (VDPhage) compared against a BLAST-based baseline.</t>
  </si>
  <si>
    <t>Development of an embedding-based retrieval system (SynVectorDB) for discovering and organizing synthetic biology parts from heterogeneous repositories, addressing challenges of inconsistent data organization and limited semantic search capabilities.</t>
  </si>
  <si>
    <t>A domain-specific retrieval-augmented generation (RAG) system (BeanGPT) for common bean (Phaseolus vulgaris) research that integrates peer-reviewed literature, structured agronomic trial data, climate projections, and genomic databases to provide citation-backed answers to natural language queries from breeders and researchers.</t>
  </si>
  <si>
    <t>The framework integrates multiple open-source LLMs (llama2, chatglm, mixtral, openhermes) with vector-based representations for documentation, a web service API, a web interface, an Elo-ranking benchmarking system for LLM evaluation, and a dataset recommendation system combining LLMs with PRIDE's Solr-based suggestion algorithm.</t>
  </si>
  <si>
    <t>Manual curation of literature data into a structured web-based database with user-friendly query interfaces; data stored in the Vaccine Ontology (VO) to support data exchange; statistical analysis of vector usage patterns across pathogens and cancers.</t>
  </si>
  <si>
    <t>The authors built a vector database storing 438,562 samples from eight microarray GEO platforms, used the Automatic Label Extraction (ALE) tool to extract sample metadata (age, sex, tissue/cell-line) from GEO metadata, and demonstrated similarity search for querying, inferring missing labels, and rapid similarity analysis.</t>
  </si>
  <si>
    <t>Construction of a web server hosting two Tospovirus-specific databases (Togribase and MOLBIT) and two additional applications (SRMBIT and SS with PDB) to support sequence, structural, and molecular biology analysis of Tospoviruses.</t>
  </si>
  <si>
    <t>A vector database built from phage protospacer sequences using k-mer frequency embeddings and HNSW indexing for sublinear similarity search, compared against a BLAST-based local alignment baseline. The vector database approach enables fast retrieval of phages whose protospacer profiles are most dissimilar to the CRISPR spacers of a target bacterial infection.</t>
  </si>
  <si>
    <t>Integration of 19,850 biological parts from multiple sources with systematic curation protocols, a three-level hierarchical classification system, and BGE-M3 multilingual embeddings within a scalable vector database architecture to enable semantic similarity matching for part retrieval.</t>
  </si>
  <si>
    <t>RAG architecture combining semantic retrieval from a vector database, intent-based query routing, structured parameter extraction, an O(1) genomic index for gene/protein identifier validation, a FastAPI backend with Server-Sent Events for concurrent users, and automated Plotly code generation for interactive visualizations.</t>
  </si>
  <si>
    <t>PRIDE; Solr; llama2; chatglm; mixtral; openhermes; Mascot; MaxQuant; quantms; ProteomeXchange</t>
  </si>
  <si>
    <t>Vaxvec; VIOLIN; Vaccine Ontology (VO)</t>
  </si>
  <si>
    <t>BioVDB; GEO; ArrayExpress; SRA; ALE; BTO</t>
  </si>
  <si>
    <t>VDPhage; BLAST; CRISPRCasFinder; CRISPRCasTyper; CRISPRloci; MCAAT; Crass; PhageCocktail</t>
  </si>
  <si>
    <t>SynVectorDB; BGE-M3; Addgene; iGEM Registry</t>
  </si>
  <si>
    <t>HNSW</t>
  </si>
  <si>
    <t>Bioinformatics and proteomics, specifically documentation Q&amp;A and dataset discovery for the PRIDE mass spectrometry-based proteomics database</t>
  </si>
  <si>
    <t>Vaccinology and vaccine vector research</t>
  </si>
  <si>
    <t>Gene expression meta-analysis, bioinformatics, and biomedical AI/ML</t>
  </si>
  <si>
    <t>Plant virology and bioinformatics (Tospovirus research)</t>
  </si>
  <si>
    <t>Phage therapy design and CRISPR defense avoidance in bioinformatics</t>
  </si>
  <si>
    <t>Synthetic biology part discovery and retrieval</t>
  </si>
  <si>
    <t>Plant breeding, genomics, and agricultural research (Phaseolus vulgaris / common bean)</t>
  </si>
  <si>
    <t>The authors built and deployed an open-source chatbot framework at EMBL-EBI that allows users to query PRIDE documentation and search for public datasets using multiple open-source LLMs. An Elo-ranking benchmarking system was used to evaluate LLM performance, and iterative benchmarking led to refined PRIDE documentation and improved model responses with fewer hallucinations. A dataset recommendation system combining LLMs with PRIDE's existing Solr-based suggestion algorithm was implemented to enhance dataset discoverability. The authors note that while they aimed for more analytical evaluation, they ultimately relied on human-based Elo-ranking and a quantitative cosine-similarity approach. The framework is designed to be modular and transferable to other bioinformatics and proteomics resources.</t>
  </si>
  <si>
    <t>The paper presents Vaxvec as the first publicly available web-based database dedicated to recombinant vaccine vectors and their associated vaccines. It contains 59 vaccine vectors used in 196 recombinant vector vaccines against 66 pathogens and cancers, classified into 41 viral, 15 bacterial, 1 parasitic, and 1 fungal vector. Analysis reveals that double-stranded DNA viruses (herpesviruses, adenoviruses, poxviruses) are the most commonly used viral vectors, with 63 poxvirus-based recombinant vaccines identified. The database also collects 30 recombinant vector influenza vaccines and annotates over 60 protective antigens. The authors conclude that Vaxvec provides a timely resource for comparative understanding and rational design of recombinant vector vaccines.</t>
  </si>
  <si>
    <t>The authors present BioVDB as the first vector database specifically designed for gene expression experiments, storing 438,562 samples from eight microarray GEO platforms. They demonstrate that the database enables efficient similarity search over gene expression vectors, which can be used to identify and infer missing sample labels and perform rapid similarity analysis. The ALE-based label extraction provides relatively high annotation accuracy but causes generalization in heterogeneous tissues like blood. Only 21,853 of 168,570 GPL570 samples have complete labels (age, sex, tissue), limiting the scope of cohort-based analyses. The database provides a ready-to-use vectorized format for deep learning models and standardized metadata for meta-analysis.</t>
  </si>
  <si>
    <t>The paper describes the development of SeeHaBITaT, a web-based server providing bioinformatics tools exclusively for Tospovirus research. The server hosts two Tospovirus-specific databases (Togribase and MOLBIT) along with two additional applications (SRMBIT and SS with PDB). The server aims to give the scientific community a comprehensive platform covering Tospovirus diagnosis, molecular biology, sequence and structural analysis. The authors note that no exclusive web resource for Tospovirus existed prior to this work. Future extensions planned include tertiary structure prediction, epitope identification, protein-protein interaction, and evolutionary studies.</t>
  </si>
  <si>
    <t>The paper proposes two algorithms for CRISPR-avoidant phage selection: a BLAST-based baseline and the vector database-powered VDPhage. VDPhage, built on HNSW indexing with k-mer frequency embeddings, demonstrates sublinear query complexity and operates 26 times faster per record compared to the BLAST method. The approach was validated on a simulated Clostridium difficile outbreak scenario, chosen for its clinical significance, near-universal CRISPR-Cas presence, and established phage therapy response. The authors deliberately chose the simpler k-mer frequency embedding over learned deep-learning embeddings to prioritize speed and practicality for large-scale screening. The paper positions VDPhage as the first dedicated in silico tool for CRISPR-avoidant phage cocktail design.</t>
  </si>
  <si>
    <t>The authors developed SynVectorDB, which integrates 19,850 biological parts from multiple sources and applies systematic curation to achieve verified status for 7,656 parts. A three-level hierarchical classification system organizes parts into functionally coherent categories. The system employs BGE-M3 multilingual embeddings within a vector database architecture for semantic similarity matching, which the authors state significantly outperforms keyword-based retrieval. The dual deployment architecture provides cloud-based performance alongside open-source accessibility, and the system maintains SBOL3 compatibility.</t>
  </si>
  <si>
    <t>BeanGPT was implemented as a streaming web interface with an asynchronous backend and evaluated through beta testing. The beta testing demonstrated strong retrieval relevance, low response latency, reliable gene verification via the O(1) genomic index, and high citation precision. The system successfully integrates heterogeneous knowledge sources (literature, trial data, climate projections, genomic databases) into a unified conversational interface. However, the authors explicitly note that the evaluation is preliminary, based on a small beta sample, and that large-scale testing with independent annotators and standardized benchmarking is still required to fully validate the findings.</t>
  </si>
  <si>
    <t>The authors aimed to evaluate and benchmark LLMs more analytically but ultimately relied on a simple human evaluation framework based on Elo-ranking; The quantitative evaluation was limited to cosine similarity and two independent models</t>
  </si>
  <si>
    <t>The authors acknowledge they likely missed many vectors and vaccines reported in the literature despite manual curation efforts; The paper does not focus on analysis of differential host immune responses for different vectors and vaccines, such as vaccine-induced antibody titers</t>
  </si>
  <si>
    <t>ALE's conservative heuristic string matching causes generalization in highly heterogeneous tissues like blood, scattering samples sparsely across vector space; Only 21,853 of 168,570 GPL570 samples have complete labels (age, sex, tissue), limiting cohort-based analyses; Distinguishing healthy controls from case samples within the same experiment is not adequately addressed by current keyword-based approaches; Cross-platform gene annotation and data standardization remain challenging, especially for sequencing data</t>
  </si>
  <si>
    <t>VDPhage does not cover other bacterial immune systems such as BrEx or restriction-modification systems; Many pathogenic bacteria lack functional CRISPR-Cas systems (e.g., only 2.9% of S. aureus strains), limiting the applicability of CRISPR avoidance as a design step; The algorithm requires a set of assembled phage genomes for database construction; Specific testing on plasmids harboring CRISPR arrays was not conducted; Co-evolution between phages and bacteria can cause phages to lose potency, requiring continuous database updates; The k-mer frequency embedding approach, while simple and fast, does not capture higher-order sequence features that learned embeddings could provide</t>
  </si>
  <si>
    <t>Current records prioritize metadata, sequence, and provenance signals; comprehensive quantitative characterization is not yet included; SO mapping coverage is not yet broad enough</t>
  </si>
  <si>
    <t>Knowledge is bounded by the corpus; recent publications (last 3-6 months) may not be indexed due to processing lag; Unpublished trial data or proprietary breeding records remain inaccessible unless explicitly integrated; Complex multi-step queries requiring reasoning across disparate information sources may exceed current capabilities; Interpreting contradictory findings across studies, assessing study quality, or providing nuanced context about experimental limitations remains challenging; Corpus is predominantly English-language; research published in Spanish, Portuguese, or French may be underrepresented; Climate projections and trial data become outdated as new observations accumulate, requiring data update pipelines and version control; Evaluation is preliminary, based on a small beta sample; large-scale testing with independent annotators and standardized benchmarking is required</t>
  </si>
  <si>
    <t>Plan to work with other bioinformatics resources at EMBL-EBI to deploy training and documentation materials; The framework could be adapted to other proteomics tools and services such as Mascot, MaxQuant, quantms, HUPO-PSI, or ProteomeXchange</t>
  </si>
  <si>
    <t>Investigating computational methods such as ontology-based literature mining and meta-analysis to improve database annotations and updates; Focusing future efforts on host-side immune responses to vectors and vaccine administrations</t>
  </si>
  <si>
    <t>Need for more sophisticated text mining solutions to distinguish samples in experiments with multiple interventions; Further work needed to fill in missing labels for the large proportion of unlabeled samples; No obvious best solution for standardizing sequencing data across platforms</t>
  </si>
  <si>
    <t>Extending the server with tertiary structure prediction; Extending the server with epitope identification; Extending the server with protein-protein interaction analysis; Extending the server with evolutionary studies</t>
  </si>
  <si>
    <t>Validation through experimental frameworks including bacterial infection models, plaque assays, qPCR, flow cytometry, and animal models; Evaluation of synergistic potential of designed phage cocktails in reducing bacterial load; Integration of avoidance of other bacterial immune systems (BrEx, restriction-modification) into a unified phage therapy design pipeline; Testing on plasmids harboring CRISPR arrays; Exploration of more complex learned embeddings (DNA language models, capsule networks) for sequence representation; Continuous updating of phage databases based on novel clinical data to address co-evolution</t>
  </si>
  <si>
    <t>Expanding SBOL features (annotated features, constraints, provenance); Broadening SO mapping coverage; Enabling community-contributed characterization data</t>
  </si>
  <si>
    <t>Extending the system's reasoning capabilities through agentic workflows where multiple specialized modules collaborate through iterative reasoning steps; Incorporating multimodal data types (images, sequences); Refining evaluation frameworks to ensure robust performance across diverse query types; Large-scale testing with independent annotators and standardized benchmarking to fully validate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</si>
</sst>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4388982114"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1990158428" TargetMode="Externa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openalex.org/works/W4392593432" TargetMode="External"/><Relationship Id="rId7" Type="http://schemas.openxmlformats.org/officeDocument/2006/relationships/hyperlink" Target="https://openalex.org/works/W7169671164" TargetMode="External"/><Relationship Id="rId2" Type="http://schemas.openxmlformats.org/officeDocument/2006/relationships/hyperlink" Target="https://openalex.org/works/W1894620164" TargetMode="External"/><Relationship Id="rId1" Type="http://schemas.openxmlformats.org/officeDocument/2006/relationships/hyperlink" Target="https://openalex.org/works/W4393363427" TargetMode="External"/><Relationship Id="rId6" Type="http://schemas.openxmlformats.org/officeDocument/2006/relationships/hyperlink" Target="https://openalex.org/works/W7124288306" TargetMode="External"/><Relationship Id="rId5" Type="http://schemas.openxmlformats.org/officeDocument/2006/relationships/hyperlink" Target="https://openalex.org/works/W4417357338" TargetMode="External"/><Relationship Id="rId4" Type="http://schemas.openxmlformats.org/officeDocument/2006/relationships/hyperlink" Target="https://openalex.org/works/W2297811497" TargetMode="External"/><Relationship Id="rId9"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0</v>
      </c>
      <c r="F2" s="2" t="s">
        <v>22</v>
      </c>
      <c r="G2" s="2" t="s">
        <v>23</v>
      </c>
      <c r="H2" s="4" t="s">
        <v>24</v>
      </c>
      <c r="I2" s="4" t="s">
        <v>25</v>
      </c>
      <c r="J2" s="4" t="s">
        <v>26</v>
      </c>
      <c r="K2" s="4" t="s">
        <v>27</v>
      </c>
      <c r="L2" s="4" t="s">
        <v>28</v>
      </c>
      <c r="M2" s="4"/>
      <c r="N2" s="4" t="s">
        <v>29</v>
      </c>
      <c r="O2" s="4" t="s">
        <v>30</v>
      </c>
      <c r="P2" s="4"/>
      <c r="Q2" s="4"/>
      <c r="R2" s="2" t="s">
        <v>31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32</v>
      </c>
      <c r="B2" s="3" t="s">
        <v>33</v>
      </c>
      <c r="C2" s="2" t="s">
        <v>34</v>
      </c>
      <c r="D2" s="2" t="s">
        <v>21</v>
      </c>
      <c r="E2" s="2">
        <v>83</v>
      </c>
      <c r="F2" s="2" t="s">
        <v>35</v>
      </c>
      <c r="G2" s="2" t="s">
        <v>23</v>
      </c>
      <c r="H2" s="4" t="s">
        <v>36</v>
      </c>
      <c r="I2" s="4" t="s">
        <v>37</v>
      </c>
      <c r="J2" s="4" t="s">
        <v>38</v>
      </c>
      <c r="K2" s="4" t="s">
        <v>39</v>
      </c>
      <c r="L2" s="4"/>
      <c r="M2" s="4"/>
      <c r="N2" s="4"/>
      <c r="O2" s="4" t="s">
        <v>40</v>
      </c>
      <c r="P2" s="4" t="s">
        <v>41</v>
      </c>
      <c r="Q2" s="4" t="s">
        <v>42</v>
      </c>
      <c r="R2" s="2" t="s">
        <v>31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9" sqref="R9"/>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43</v>
      </c>
      <c r="B2" s="3" t="s">
        <v>50</v>
      </c>
      <c r="C2" s="2" t="s">
        <v>57</v>
      </c>
      <c r="D2" s="2" t="s">
        <v>21</v>
      </c>
      <c r="E2" s="2">
        <v>14</v>
      </c>
      <c r="F2" s="2" t="s">
        <v>64</v>
      </c>
      <c r="G2" s="2" t="s">
        <v>23</v>
      </c>
      <c r="H2" s="4" t="s">
        <v>72</v>
      </c>
      <c r="I2" s="4" t="s">
        <v>79</v>
      </c>
      <c r="J2" s="4" t="s">
        <v>86</v>
      </c>
      <c r="K2" s="4" t="s">
        <v>93</v>
      </c>
      <c r="L2" s="4" t="s">
        <v>100</v>
      </c>
      <c r="M2" s="4"/>
      <c r="N2" s="4" t="s">
        <v>106</v>
      </c>
      <c r="O2" s="4" t="s">
        <v>113</v>
      </c>
      <c r="P2" s="4" t="s">
        <v>120</v>
      </c>
      <c r="Q2" s="4" t="s">
        <v>126</v>
      </c>
      <c r="R2" s="2" t="s">
        <v>31</v>
      </c>
      <c r="S2" s="6" t="str">
        <f>HYPERLINK(B2,"link")</f>
        <v>link</v>
      </c>
      <c r="T2" s="6" t="str">
        <f>HYPERLINK(C2,"pdf")</f>
        <v>pdf</v>
      </c>
    </row>
    <row r="3" spans="1:20" x14ac:dyDescent="0.25">
      <c r="A3" s="2" t="s">
        <v>44</v>
      </c>
      <c r="B3" s="3" t="s">
        <v>51</v>
      </c>
      <c r="C3" s="2" t="s">
        <v>58</v>
      </c>
      <c r="D3" s="2" t="s">
        <v>31</v>
      </c>
      <c r="E3" s="2">
        <v>7</v>
      </c>
      <c r="F3" s="2" t="s">
        <v>65</v>
      </c>
      <c r="G3" s="2" t="s">
        <v>23</v>
      </c>
      <c r="H3" s="4" t="s">
        <v>73</v>
      </c>
      <c r="I3" s="4" t="s">
        <v>80</v>
      </c>
      <c r="J3" s="4" t="s">
        <v>87</v>
      </c>
      <c r="K3" s="4" t="s">
        <v>94</v>
      </c>
      <c r="L3" s="4" t="s">
        <v>101</v>
      </c>
      <c r="M3" s="4"/>
      <c r="N3" s="4" t="s">
        <v>107</v>
      </c>
      <c r="O3" s="4" t="s">
        <v>114</v>
      </c>
      <c r="P3" s="4" t="s">
        <v>121</v>
      </c>
      <c r="Q3" s="4" t="s">
        <v>127</v>
      </c>
      <c r="R3" s="2" t="s">
        <v>31</v>
      </c>
      <c r="S3" s="6" t="str">
        <f t="shared" ref="S3:S8" si="0">HYPERLINK(B3,"link")</f>
        <v>link</v>
      </c>
      <c r="T3" s="6" t="str">
        <f t="shared" ref="T3:T8" si="1">HYPERLINK(C3,"pdf")</f>
        <v>pdf</v>
      </c>
    </row>
    <row r="4" spans="1:20" x14ac:dyDescent="0.25">
      <c r="A4" s="2" t="s">
        <v>45</v>
      </c>
      <c r="B4" s="3" t="s">
        <v>52</v>
      </c>
      <c r="C4" s="2" t="s">
        <v>59</v>
      </c>
      <c r="D4" s="2" t="s">
        <v>21</v>
      </c>
      <c r="E4" s="2">
        <v>1</v>
      </c>
      <c r="F4" s="2" t="s">
        <v>66</v>
      </c>
      <c r="G4" s="2" t="s">
        <v>71</v>
      </c>
      <c r="H4" s="4" t="s">
        <v>74</v>
      </c>
      <c r="I4" s="4" t="s">
        <v>81</v>
      </c>
      <c r="J4" s="4" t="s">
        <v>88</v>
      </c>
      <c r="K4" s="4" t="s">
        <v>95</v>
      </c>
      <c r="L4" s="4" t="s">
        <v>102</v>
      </c>
      <c r="M4" s="4"/>
      <c r="N4" s="4" t="s">
        <v>108</v>
      </c>
      <c r="O4" s="4" t="s">
        <v>115</v>
      </c>
      <c r="P4" s="4" t="s">
        <v>122</v>
      </c>
      <c r="Q4" s="4" t="s">
        <v>128</v>
      </c>
      <c r="R4" s="2" t="s">
        <v>31</v>
      </c>
      <c r="S4" s="6" t="str">
        <f t="shared" si="0"/>
        <v>link</v>
      </c>
      <c r="T4" s="6" t="str">
        <f t="shared" si="1"/>
        <v>pdf</v>
      </c>
    </row>
    <row r="5" spans="1:20" x14ac:dyDescent="0.25">
      <c r="A5" s="2" t="s">
        <v>46</v>
      </c>
      <c r="B5" s="3" t="s">
        <v>53</v>
      </c>
      <c r="C5" s="2" t="s">
        <v>60</v>
      </c>
      <c r="D5" s="2" t="s">
        <v>21</v>
      </c>
      <c r="E5" s="2">
        <v>0</v>
      </c>
      <c r="F5" s="2" t="s">
        <v>67</v>
      </c>
      <c r="G5" s="2" t="s">
        <v>23</v>
      </c>
      <c r="H5" s="4" t="s">
        <v>75</v>
      </c>
      <c r="I5" s="4" t="s">
        <v>82</v>
      </c>
      <c r="J5" s="4" t="s">
        <v>89</v>
      </c>
      <c r="K5" s="4" t="s">
        <v>96</v>
      </c>
      <c r="L5" s="4"/>
      <c r="M5" s="4"/>
      <c r="N5" s="4" t="s">
        <v>109</v>
      </c>
      <c r="O5" s="4" t="s">
        <v>116</v>
      </c>
      <c r="P5" s="4"/>
      <c r="Q5" s="4" t="s">
        <v>129</v>
      </c>
      <c r="R5" s="2" t="s">
        <v>31</v>
      </c>
      <c r="S5" s="6" t="str">
        <f t="shared" si="0"/>
        <v>link</v>
      </c>
      <c r="T5" s="6" t="str">
        <f t="shared" si="1"/>
        <v>pdf</v>
      </c>
    </row>
    <row r="6" spans="1:20" x14ac:dyDescent="0.25">
      <c r="A6" s="2" t="s">
        <v>47</v>
      </c>
      <c r="B6" s="3" t="s">
        <v>54</v>
      </c>
      <c r="C6" s="2" t="s">
        <v>61</v>
      </c>
      <c r="D6" s="2" t="s">
        <v>21</v>
      </c>
      <c r="E6" s="2">
        <v>0</v>
      </c>
      <c r="F6" s="2" t="s">
        <v>68</v>
      </c>
      <c r="G6" s="2" t="s">
        <v>71</v>
      </c>
      <c r="H6" s="4" t="s">
        <v>76</v>
      </c>
      <c r="I6" s="4" t="s">
        <v>83</v>
      </c>
      <c r="J6" s="4" t="s">
        <v>90</v>
      </c>
      <c r="K6" s="4" t="s">
        <v>97</v>
      </c>
      <c r="L6" s="4" t="s">
        <v>103</v>
      </c>
      <c r="M6" s="4" t="s">
        <v>105</v>
      </c>
      <c r="N6" s="4" t="s">
        <v>110</v>
      </c>
      <c r="O6" s="4" t="s">
        <v>117</v>
      </c>
      <c r="P6" s="4" t="s">
        <v>123</v>
      </c>
      <c r="Q6" s="4" t="s">
        <v>130</v>
      </c>
      <c r="R6" s="2" t="s">
        <v>31</v>
      </c>
      <c r="S6" s="6" t="str">
        <f t="shared" si="0"/>
        <v>link</v>
      </c>
      <c r="T6" s="6" t="str">
        <f t="shared" si="1"/>
        <v>pdf</v>
      </c>
    </row>
    <row r="7" spans="1:20" x14ac:dyDescent="0.25">
      <c r="A7" s="2" t="s">
        <v>48</v>
      </c>
      <c r="B7" s="3" t="s">
        <v>55</v>
      </c>
      <c r="C7" s="2" t="s">
        <v>62</v>
      </c>
      <c r="D7" s="2" t="s">
        <v>21</v>
      </c>
      <c r="E7" s="2">
        <v>0</v>
      </c>
      <c r="F7" s="2" t="s">
        <v>69</v>
      </c>
      <c r="G7" s="2" t="s">
        <v>23</v>
      </c>
      <c r="H7" s="4" t="s">
        <v>77</v>
      </c>
      <c r="I7" s="4" t="s">
        <v>84</v>
      </c>
      <c r="J7" s="4" t="s">
        <v>91</v>
      </c>
      <c r="K7" s="4" t="s">
        <v>98</v>
      </c>
      <c r="L7" s="4" t="s">
        <v>104</v>
      </c>
      <c r="M7" s="4"/>
      <c r="N7" s="4" t="s">
        <v>111</v>
      </c>
      <c r="O7" s="4" t="s">
        <v>118</v>
      </c>
      <c r="P7" s="4" t="s">
        <v>124</v>
      </c>
      <c r="Q7" s="4" t="s">
        <v>131</v>
      </c>
      <c r="R7" s="2" t="s">
        <v>31</v>
      </c>
      <c r="S7" s="6" t="str">
        <f t="shared" si="0"/>
        <v>link</v>
      </c>
      <c r="T7" s="6" t="str">
        <f t="shared" si="1"/>
        <v>pdf</v>
      </c>
    </row>
    <row r="8" spans="1:20" x14ac:dyDescent="0.25">
      <c r="A8" s="2" t="s">
        <v>49</v>
      </c>
      <c r="B8" s="3" t="s">
        <v>56</v>
      </c>
      <c r="C8" s="2" t="s">
        <v>63</v>
      </c>
      <c r="D8" s="2" t="s">
        <v>21</v>
      </c>
      <c r="E8" s="2">
        <v>0</v>
      </c>
      <c r="F8" s="2" t="s">
        <v>70</v>
      </c>
      <c r="G8" s="2" t="s">
        <v>23</v>
      </c>
      <c r="H8" s="4" t="s">
        <v>78</v>
      </c>
      <c r="I8" s="4" t="s">
        <v>85</v>
      </c>
      <c r="J8" s="4" t="s">
        <v>92</v>
      </c>
      <c r="K8" s="4" t="s">
        <v>99</v>
      </c>
      <c r="L8" s="4"/>
      <c r="M8" s="4"/>
      <c r="N8" s="4" t="s">
        <v>112</v>
      </c>
      <c r="O8" s="4" t="s">
        <v>119</v>
      </c>
      <c r="P8" s="4" t="s">
        <v>125</v>
      </c>
      <c r="Q8" s="4" t="s">
        <v>132</v>
      </c>
      <c r="R8" s="2" t="s">
        <v>31</v>
      </c>
      <c r="S8" s="6" t="str">
        <f t="shared" si="0"/>
        <v>link</v>
      </c>
      <c r="T8" s="6" t="str">
        <f t="shared" si="1"/>
        <v>pdf</v>
      </c>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8">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s>
  <pageMargins left="0.7" right="0.7" top="0.75" bottom="0.75" header="0.3" footer="0.3"/>
  <legacyDrawing r:id="rId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Other</vt:lpstr>
      <vt:lpstr>Survey_Review</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2026-10-09T13:03:36Z</dcterms:modified>
</cp:coreProperties>
</file>
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430" codeName="{82680DD9-3F13-7979-5B5F-3D2375947C00}"/>
  <workbookPr codeName="DieseArbeitsmappe" defaultThemeVersion="124226"/>
  <mc:AlternateContent xmlns:mc="http://schemas.openxmlformats.org/markup-compatibility/2006">
    <mc:Choice Requires="x15">
      <x15ac:absPath xmlns:x15ac="http://schemas.microsoft.com/office/spreadsheetml/2010/11/ac" url="C:\Users\Dominik\Documents\arm\evaluation\excel\"/>
    </mc:Choice>
  </mc:AlternateContent>
  <xr:revisionPtr revIDLastSave="0" documentId="13_ncr:1_{4AAB542C-F894-4570-977E-9107F5172C5F}" xr6:coauthVersionLast="47" xr6:coauthVersionMax="47" xr10:uidLastSave="{00000000-0000-0000-0000-000000000000}"/>
  <bookViews>
    <workbookView xWindow="-120" yWindow="-120" windowWidth="38640" windowHeight="21120" xr2:uid="{00000000-000D-0000-FFFF-FFFF00000000}"/>
  </bookViews>
  <sheets>
    <sheet name="Case-Study_Application-Paper" sheetId="1" r:id="rId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3" i="1" l="1"/>
  <c r="S3" i="1"/>
  <c r="T2" i="1"/>
  <c r="S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271EE5D0-3CD2-4080-B4F3-6BE7030A03C6}">
      <text>
        <r>
          <rPr>
            <sz val="14"/>
            <color indexed="81"/>
            <rFont val="Segoe UI"/>
            <family val="2"/>
          </rPr>
          <t>Virtual Hydrocarbon and Combinatorial Databases for Use with CAVEAT</t>
        </r>
      </text>
    </comment>
    <comment ref="I2" authorId="0" shapeId="0" xr:uid="{7204F15A-A969-4FD7-9C34-25649CAC2F23}">
      <text>
        <r>
          <rPr>
            <sz val="14"/>
            <color indexed="81"/>
            <rFont val="Segoe UI"/>
            <family val="2"/>
          </rPr>
          <t>The paper uses the term 'vector database' to refer to a storage format for 3D bond-orientation vectors in a molecular design program (CAVEAT), which is fundamentally different from modern vector databases for high-dimensional embedding search and ANN indexing. The paper is about computational chemistry and molecular scaffold design, not about vector database technology.</t>
        </r>
      </text>
    </comment>
    <comment ref="J2" authorId="0" shapeId="0" xr:uid="{EDA926B9-FDF4-4900-B01E-6AC23F2BBB6D}">
      <text>
        <r>
          <rPr>
            <sz val="14"/>
            <color indexed="81"/>
            <rFont val="Segoe UI"/>
            <family val="2"/>
          </rPr>
          <t>Development of three virtual databases (TRISUB, BIAD, GEMINI) of hydrocarbon and combinatorial scaffold structures for use with the CAVEAT bond-orientation-based molecular design program</t>
        </r>
      </text>
    </comment>
    <comment ref="K2" authorId="0" shapeId="0" xr:uid="{39DF4F5E-3795-4B39-8294-3FCC0B65A573}">
      <text>
        <r>
          <rPr>
            <sz val="14"/>
            <color indexed="81"/>
            <rFont val="Segoe UI"/>
            <family val="2"/>
          </rPr>
          <t>Generation of molecular structures using the Cerius2 analogue builder, conformational search with CATALYST, energy minimization with MacroModel (retaining conformers within 5 kcal/mol of the minimum), and conversion to a vector database format for CAVEAT searching based on 3D bond-orientation vectors</t>
        </r>
      </text>
    </comment>
    <comment ref="L2" authorId="0" shapeId="0" xr:uid="{CC21AC34-E881-420A-95B2-3505A70A964B}">
      <text>
        <r>
          <rPr>
            <sz val="14"/>
            <color indexed="81"/>
            <rFont val="Segoe UI"/>
            <family val="2"/>
          </rPr>
          <t>CAVEAT; Cerius2; CATALYST; MacroModel; TRIAD; ILIAD; CSD</t>
        </r>
      </text>
    </comment>
    <comment ref="N2" authorId="0" shapeId="0" xr:uid="{6A16C67A-20F8-4457-A596-3B1247399DF7}">
      <text>
        <r>
          <rPr>
            <sz val="14"/>
            <color indexed="81"/>
            <rFont val="Segoe UI"/>
            <family val="2"/>
          </rPr>
          <t>Molecular design, drug design, combinatorial chemistry, and design of small molecule receptors and chiral ligands</t>
        </r>
      </text>
    </comment>
    <comment ref="O2" authorId="0" shapeId="0" xr:uid="{3A1A5CC4-55BA-4B20-89BC-4E393F8305CC}">
      <text>
        <r>
          <rPr>
            <sz val="14"/>
            <color indexed="81"/>
            <rFont val="Segoe UI"/>
            <family val="2"/>
          </rPr>
          <t>The paper describes the construction of three virtual databases: TRISUB (~757,000 structures of trisubstituted monocyclic hydrocarbons), BIAD (2,255 unsubstituted bicyclic hydrocarbons), and GEMINI (38,219 molecules in 323,533 conformations from combinatorial chemistries). These were generated by systematically varying substituent positions on core ring systems, performing conformational searches, and minimizing structures. The databases are now used routinely in CAVEAT applications for structure-based molecular design. TRISUB has provided new leads in molecular design at Stony Brook, while GEMINI serves as a model for expandable or proprietary CAVEAT databases. The work also provides general methods for developing additional databases based on variable substitution of simple core structures.</t>
        </r>
      </text>
    </comment>
    <comment ref="P2" authorId="0" shapeId="0" xr:uid="{4247AB08-B428-4127-8F56-5ABF3F200A78}">
      <text>
        <r>
          <rPr>
            <sz val="14"/>
            <color indexed="81"/>
            <rFont val="Segoe UI"/>
            <family val="2"/>
          </rPr>
          <t>The hydrocarbon scaffolds are 'generic' and may be challenging to synthesize with the desired substituents; Search hits are not likely to be used directly but only point to frameworks for further design; The smaller and less-diverse BIAD database does not consistently provide hits in CAVEAT searches</t>
        </r>
      </text>
    </comment>
    <comment ref="Q2" authorId="0" shapeId="0" xr:uid="{ADB67CCF-DD7B-4A99-9945-CE3934A1C89A}">
      <text>
        <r>
          <rPr>
            <sz val="14"/>
            <color indexed="81"/>
            <rFont val="Segoe UI"/>
            <family val="2"/>
          </rPr>
          <t>Additional cores from the literature could be added to GEMINI to expand its coverage; The general methods described could be applied to develop additional databases for CAVEAT and other applications based on variable substitution of simple core structures</t>
        </r>
      </text>
    </comment>
    <comment ref="H3" authorId="0" shapeId="0" xr:uid="{978A190C-80A5-47FC-9F06-A61B041E9935}">
      <text>
        <r>
          <rPr>
            <sz val="14"/>
            <color indexed="81"/>
            <rFont val="Segoe UI"/>
            <family val="2"/>
          </rPr>
          <t>Enhanced Structural Encoding Algorithm for Database Retrievals of Carbon-13 Nuclear Magnetic Resonance Chemical Shifts</t>
        </r>
      </text>
    </comment>
    <comment ref="I3" authorId="0" shapeId="0" xr:uid="{5713CC67-ECDA-4F19-9586-2B9A93CE5A6A}">
      <text>
        <r>
          <rPr>
            <sz val="14"/>
            <color indexed="81"/>
            <rFont val="Segoe UI"/>
            <family val="2"/>
          </rPr>
          <t>The paper is fundamentally about NMR chemical shift prediction using a domain-specific encoding algorithm; vector comparison via Euclidean distance is used only as a simple retrieval tool within the chemistry application, with no discussion of vector database systems, indexing structures, or database technology.</t>
        </r>
      </text>
    </comment>
    <comment ref="J3" authorId="0" shapeId="0" xr:uid="{CF915E10-D46E-414A-BD5B-A432FD223DD0}">
      <text>
        <r>
          <rPr>
            <sz val="14"/>
            <color indexed="81"/>
            <rFont val="Segoe UI"/>
            <family val="2"/>
          </rPr>
          <t>An enhanced vector-based encoding algorithm for representing the chemical environment of carbon atoms, used to retrieve matching environments from a database and predict carbon-13 NMR chemical shifts.</t>
        </r>
      </text>
    </comment>
    <comment ref="K3" authorId="0" shapeId="0" xr:uid="{0C34639B-CA63-453B-A1E3-78291D47E6FA}">
      <text>
        <r>
          <rPr>
            <sz val="14"/>
            <color indexed="81"/>
            <rFont val="Segoe UI"/>
            <family val="2"/>
          </rPr>
          <t>Chemical environments are encoded as vectors where each dimension represents the collective influence of atoms at a given bond distance from the carbon atom. Database retrieval uses Euclidean distance comparison between vectors to find the closest matching environment. Parameter optimization (number of atom classes, aromatic handling, vector dimensionality, weighting exponent) is performed on a training set, then evaluated on a separate test set.</t>
        </r>
      </text>
    </comment>
    <comment ref="N3" authorId="0" shapeId="0" xr:uid="{3204CBB6-A1F8-4DBE-810D-4DDCA6D04BEA}">
      <text>
        <r>
          <rPr>
            <sz val="14"/>
            <color indexed="81"/>
            <rFont val="Segoe UI"/>
            <family val="2"/>
          </rPr>
          <t>NMR spectroscopy and chemical shift prediction for organic structure elucidation</t>
        </r>
      </text>
    </comment>
    <comment ref="O3" authorId="0" shapeId="0" xr:uid="{481C19E4-7D4B-45A2-BC8B-16CEA43E969D}">
      <text>
        <r>
          <rPr>
            <sz val="14"/>
            <color indexed="81"/>
            <rFont val="Segoe UI"/>
            <family val="2"/>
          </rPr>
          <t>The enhanced encoding algorithm was tested on a database of 16,959 training and 4,240 test structures (38,568 carbons in the test set). The optimal 15-dimensional combined vector representation achieved a median mean absolute deviation of 1.30 ppm in predicted chemical shifts. Approximately 75% of chemical shifts in the test set were predicted within 2.0 ppm. Euclidean distance was confirmed as a good predictor of prediction quality, with matches below 0.1 distance generally yielding accurate predictions while distances above 1.0 typically gave poor results. The authors also identified specific encoding deficiencies, such as inability to distinguish ortho vs. meta positions in aromatic systems and failure to encode cis/trans configurations.</t>
        </r>
      </text>
    </comment>
    <comment ref="P3" authorId="0" shapeId="0" xr:uid="{38A97DA6-6282-43E5-ADB2-F5ED2AD242A2}">
      <text>
        <r>
          <rPr>
            <sz val="14"/>
            <color indexed="81"/>
            <rFont val="Segoe UI"/>
            <family val="2"/>
          </rPr>
          <t>The algorithm does not distinguish between ortho and meta positions relative to a carbon in aromatic systems; Cis/trans configurations of double bonds are not taken into consideration; Conjugation of double bonds is not explicitly treated in the encoding; Much detailed connection information is lost by collapsing atoms at each bond distance into a single scalar value (dimensionality reduction); Solvent effects and other experimental factors are not accounted for; Some experimental data in the database contain incorrectly assigned shifts; The methodology focuses only on chemical shifts and does not simulate spectral line width or intensity</t>
        </r>
      </text>
    </comment>
    <comment ref="Q3" authorId="0" shapeId="0" xr:uid="{BA45DB33-0F8A-476E-AC5F-333B9C8CCD03}">
      <text>
        <r>
          <rPr>
            <sz val="14"/>
            <color indexed="81"/>
            <rFont val="Segoe UI"/>
            <family val="2"/>
          </rPr>
          <t>Further enhancements to the aromatic encoding scheme to distinguish ortho, meta, and para positions; Incorporation of cis/trans configuration information into the encoding; Treatment of additional aromatic systems beyond six-membered carbon rings; Explicit treatment of double bond conjugation effects; Exploration of alternative multi-vector schemes (e.g., using largest or smallest Z values at each bond distance); Combining the direct retrieval approach with empirical modeling for improved accuracy and generality; Simulation of spectral parameters beyond chemical shifts (line width, intensity)</t>
        </r>
      </text>
    </comment>
  </commentList>
</comments>
</file>

<file path=xl/sharedStrings.xml><?xml version="1.0" encoding="utf-8"?>
<sst xmlns="http://schemas.openxmlformats.org/spreadsheetml/2006/main" count="49" uniqueCount="45">
  <si>
    <t>work_id</t>
  </si>
  <si>
    <t>openalex_link</t>
  </si>
  <si>
    <t>pdf_link</t>
  </si>
  <si>
    <t>open_access</t>
  </si>
  <si>
    <t>cite</t>
  </si>
  <si>
    <t>publication_date</t>
  </si>
  <si>
    <t>relevance</t>
  </si>
  <si>
    <t>title</t>
  </si>
  <si>
    <t>relevance_reason</t>
  </si>
  <si>
    <t>research_focus</t>
  </si>
  <si>
    <t>method</t>
  </si>
  <si>
    <t>mentioned_systems</t>
  </si>
  <si>
    <t>indexing_methods</t>
  </si>
  <si>
    <t>application_domain</t>
  </si>
  <si>
    <t>results_summary</t>
  </si>
  <si>
    <t>limitations</t>
  </si>
  <si>
    <t>research_gaps</t>
  </si>
  <si>
    <t>done</t>
  </si>
  <si>
    <t>W1974948045</t>
  </si>
  <si>
    <t>W2011313178</t>
  </si>
  <si>
    <t>https://openalex.org/works/W1974948045</t>
  </si>
  <si>
    <t>https://openalex.org/works/W2011313178</t>
  </si>
  <si>
    <t>C:\Users\Dominik\Documents\arm\pdf\not_open_access\W1974948045.pdf</t>
  </si>
  <si>
    <t>C:\Users\Dominik\Documents\arm\pdf\not_open_access\W2011313178.pdf</t>
  </si>
  <si>
    <t>False</t>
  </si>
  <si>
    <t>2005-11-01</t>
  </si>
  <si>
    <t>1996-01-01</t>
  </si>
  <si>
    <t>low</t>
  </si>
  <si>
    <t>Virtual Hydrocarbon and Combinatorial Databases for Use with CAVEAT</t>
  </si>
  <si>
    <t>Enhanced Structural Encoding Algorithm for Database Retrievals of Carbon-13 Nuclear Magnetic Resonance Chemical Shifts</t>
  </si>
  <si>
    <t>The paper uses the term 'vector database' to refer to a storage format for 3D bond-orientation vectors in a molecular design program (CAVEAT), which is fundamentally different from modern vector databases for high-dimensional embedding search and ANN indexing. The paper is about computational chemistry and molecular scaffold design, not about vector database technology.</t>
  </si>
  <si>
    <t>The paper is fundamentally about NMR chemical shift prediction using a domain-specific encoding algorithm; vector comparison via Euclidean distance is used only as a simple retrieval tool within the chemistry application, with no discussion of vector database systems, indexing structures, or database technology.</t>
  </si>
  <si>
    <t>Development of three virtual databases (TRISUB, BIAD, GEMINI) of hydrocarbon and combinatorial scaffold structures for use with the CAVEAT bond-orientation-based molecular design program</t>
  </si>
  <si>
    <t>An enhanced vector-based encoding algorithm for representing the chemical environment of carbon atoms, used to retrieve matching environments from a database and predict carbon-13 NMR chemical shifts.</t>
  </si>
  <si>
    <t>Generation of molecular structures using the Cerius2 analogue builder, conformational search with CATALYST, energy minimization with MacroModel (retaining conformers within 5 kcal/mol of the minimum), and conversion to a vector database format for CAVEAT searching based on 3D bond-orientation vectors</t>
  </si>
  <si>
    <t>Chemical environments are encoded as vectors where each dimension represents the collective influence of atoms at a given bond distance from the carbon atom. Database retrieval uses Euclidean distance comparison between vectors to find the closest matching environment. Parameter optimization (number of atom classes, aromatic handling, vector dimensionality, weighting exponent) is performed on a training set, then evaluated on a separate test set.</t>
  </si>
  <si>
    <t>CAVEAT; Cerius2; CATALYST; MacroModel; TRIAD; ILIAD; CSD</t>
  </si>
  <si>
    <t>Molecular design, drug design, combinatorial chemistry, and design of small molecule receptors and chiral ligands</t>
  </si>
  <si>
    <t>NMR spectroscopy and chemical shift prediction for organic structure elucidation</t>
  </si>
  <si>
    <t>The paper describes the construction of three virtual databases: TRISUB (~757,000 structures of trisubstituted monocyclic hydrocarbons), BIAD (2,255 unsubstituted bicyclic hydrocarbons), and GEMINI (38,219 molecules in 323,533 conformations from combinatorial chemistries). These were generated by systematically varying substituent positions on core ring systems, performing conformational searches, and minimizing structures. The databases are now used routinely in CAVEAT applications for structure-based molecular design. TRISUB has provided new leads in molecular design at Stony Brook, while GEMINI serves as a model for expandable or proprietary CAVEAT databases. The work also provides general methods for developing additional databases based on variable substitution of simple core structures.</t>
  </si>
  <si>
    <t>The enhanced encoding algorithm was tested on a database of 16,959 training and 4,240 test structures (38,568 carbons in the test set). The optimal 15-dimensional combined vector representation achieved a median mean absolute deviation of 1.30 ppm in predicted chemical shifts. Approximately 75% of chemical shifts in the test set were predicted within 2.0 ppm. Euclidean distance was confirmed as a good predictor of prediction quality, with matches below 0.1 distance generally yielding accurate predictions while distances above 1.0 typically gave poor results. The authors also identified specific encoding deficiencies, such as inability to distinguish ortho vs. meta positions in aromatic systems and failure to encode cis/trans configurations.</t>
  </si>
  <si>
    <t>The hydrocarbon scaffolds are 'generic' and may be challenging to synthesize with the desired substituents; Search hits are not likely to be used directly but only point to frameworks for further design; The smaller and less-diverse BIAD database does not consistently provide hits in CAVEAT searches</t>
  </si>
  <si>
    <t>The algorithm does not distinguish between ortho and meta positions relative to a carbon in aromatic systems; Cis/trans configurations of double bonds are not taken into consideration; Conjugation of double bonds is not explicitly treated in the encoding; Much detailed connection information is lost by collapsing atoms at each bond distance into a single scalar value (dimensionality reduction); Solvent effects and other experimental factors are not accounted for; Some experimental data in the database contain incorrectly assigned shifts; The methodology focuses only on chemical shifts and does not simulate spectral line width or intensity</t>
  </si>
  <si>
    <t>Additional cores from the literature could be added to GEMINI to expand its coverage; The general methods described could be applied to develop additional databases for CAVEAT and other applications based on variable substitution of simple core structures</t>
  </si>
  <si>
    <t>Further enhancements to the aromatic encoding scheme to distinguish ortho, meta, and para positions; Incorporation of cis/trans configuration information into the encoding; Treatment of additional aromatic systems beyond six-membered carbon rings; Explicit treatment of double bond conjugation effects; Exploration of alternative multi-vector schemes (e.g., using largest or smallest Z values at each bond distance); Combining the direct retrieval approach with empirical modeling for improved accuracy and generality; Simulation of spectral parameters beyond chemical shifts (line width, intensity)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</si>
</sst>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
  </numFmts>
  <fonts count="4" x14ac:knownFonts="1">
    <font>
      <sz val="11"/>
      <color theme="1"/>
      <name val="Calibri"/>
      <family val="2"/>
      <scheme val="minor"/>
    </font>
    <font>
      <u/>
      <sz val="11"/>
      <color theme="10"/>
      <name val="Calibri"/>
      <family val="2"/>
    </font>
    <font>
      <b/>
      <sz val="11"/>
      <color theme="1"/>
      <name val="Calibri"/>
      <family val="2"/>
      <scheme val="minor"/>
    </font>
    <font>
      <sz val="14"/>
      <color indexed="81"/>
      <name val="Segoe UI"/>
      <family val="2"/>
    </font>
  </fonts>
  <fills count="3">
    <fill>
      <patternFill patternType="none"/>
    </fill>
    <fill>
      <patternFill patternType="gray125"/>
    </fill>
    <fill>
      <patternFill patternType="solid">
        <fgColor theme="0" tint="-0.149967955565050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7">
    <xf numFmtId="0" fontId="0" fillId="0" borderId="0" xfId="0"/>
    <xf numFmtId="164" fontId="0" fillId="0" borderId="0" xfId="0" applyNumberFormat="1"/>
    <xf numFmtId="0" fontId="2" fillId="2" borderId="1" xfId="0" applyFont="1" applyFill="1" applyBorder="1"/>
    <xf numFmtId="0" fontId="0" fillId="0" borderId="1" xfId="0" applyBorder="1"/>
    <xf numFmtId="0" fontId="1" fillId="0" borderId="1" xfId="1" applyBorder="1" applyAlignment="1" applyProtection="1"/>
    <xf numFmtId="164" fontId="0" fillId="0" borderId="1" xfId="0" applyNumberFormat="1" applyBorder="1"/>
    <xf numFmtId="0" fontId="1" fillId="2" borderId="1" xfId="1" applyFill="1" applyBorder="1" applyAlignment="1" applyProtection="1"/>
  </cellXfs>
  <cellStyles count="2">
    <cellStyle name="Link" xfId="1" builtinId="8"/>
    <cellStyle name="Standard" xfId="0" builtinId="0"/>
  </cellStyles>
  <dxfs count="3">
    <dxf>
      <fill>
        <patternFill>
          <bgColor rgb="FFFF8282"/>
        </patternFill>
      </fill>
    </dxf>
    <dxf>
      <fill>
        <patternFill>
          <bgColor rgb="FFC6E0B4"/>
        </patternFill>
      </fill>
    </dxf>
    <dxf>
      <fill>
        <patternFill>
          <bgColor rgb="FFFFFF96"/>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openalex.org/works/W2011313178" TargetMode="External"/><Relationship Id="rId1" Type="http://schemas.openxmlformats.org/officeDocument/2006/relationships/hyperlink" Target="https://openalex.org/works/W1974948045" TargetMode="Externa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14"/>
  <sheetViews>
    <sheetView tabSelected="1" workbookViewId="0">
      <selection activeCell="R4" sqref="R4"/>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c r="T1" s="2"/>
    </row>
    <row r="2" spans="1:20" x14ac:dyDescent="0.25">
      <c r="A2" s="3" t="s">
        <v>18</v>
      </c>
      <c r="B2" s="4" t="s">
        <v>20</v>
      </c>
      <c r="C2" s="3" t="s">
        <v>22</v>
      </c>
      <c r="D2" s="3" t="s">
        <v>24</v>
      </c>
      <c r="E2" s="3">
        <v>13</v>
      </c>
      <c r="F2" s="3" t="s">
        <v>25</v>
      </c>
      <c r="G2" s="3" t="s">
        <v>27</v>
      </c>
      <c r="H2" s="5" t="s">
        <v>28</v>
      </c>
      <c r="I2" s="5" t="s">
        <v>30</v>
      </c>
      <c r="J2" s="5" t="s">
        <v>32</v>
      </c>
      <c r="K2" s="5" t="s">
        <v>34</v>
      </c>
      <c r="L2" s="5" t="s">
        <v>36</v>
      </c>
      <c r="M2" s="5"/>
      <c r="N2" s="5" t="s">
        <v>37</v>
      </c>
      <c r="O2" s="5" t="s">
        <v>39</v>
      </c>
      <c r="P2" s="5" t="s">
        <v>41</v>
      </c>
      <c r="Q2" s="5" t="s">
        <v>43</v>
      </c>
      <c r="R2" s="3" t="s">
        <v>24</v>
      </c>
      <c r="S2" s="6" t="str">
        <f>HYPERLINK(B2,"link")</f>
        <v>link</v>
      </c>
      <c r="T2" s="6" t="str">
        <f>HYPERLINK(C2,"pdf")</f>
        <v>pdf</v>
      </c>
    </row>
    <row r="3" spans="1:20" x14ac:dyDescent="0.25">
      <c r="A3" s="3" t="s">
        <v>19</v>
      </c>
      <c r="B3" s="4" t="s">
        <v>21</v>
      </c>
      <c r="C3" s="3" t="s">
        <v>23</v>
      </c>
      <c r="D3" s="3" t="s">
        <v>24</v>
      </c>
      <c r="E3" s="3">
        <v>5</v>
      </c>
      <c r="F3" s="3" t="s">
        <v>26</v>
      </c>
      <c r="G3" s="3" t="s">
        <v>27</v>
      </c>
      <c r="H3" s="5" t="s">
        <v>29</v>
      </c>
      <c r="I3" s="5" t="s">
        <v>31</v>
      </c>
      <c r="J3" s="5" t="s">
        <v>33</v>
      </c>
      <c r="K3" s="5" t="s">
        <v>35</v>
      </c>
      <c r="L3" s="5"/>
      <c r="M3" s="5"/>
      <c r="N3" s="5" t="s">
        <v>38</v>
      </c>
      <c r="O3" s="5" t="s">
        <v>40</v>
      </c>
      <c r="P3" s="5" t="s">
        <v>42</v>
      </c>
      <c r="Q3" s="5" t="s">
        <v>44</v>
      </c>
      <c r="R3" s="3" t="s">
        <v>24</v>
      </c>
      <c r="S3" s="6" t="str">
        <f>HYPERLINK(B3,"link")</f>
        <v>link</v>
      </c>
      <c r="T3" s="6" t="str">
        <f>HYPERLINK(C3,"pdf")</f>
        <v>pdf</v>
      </c>
    </row>
    <row r="4" spans="1:20" x14ac:dyDescent="0.25">
      <c r="H4" s="1"/>
      <c r="I4" s="1"/>
      <c r="J4" s="1"/>
      <c r="K4" s="1"/>
      <c r="L4" s="1"/>
      <c r="M4" s="1"/>
      <c r="N4" s="1"/>
      <c r="O4" s="1"/>
      <c r="P4" s="1"/>
      <c r="Q4" s="1"/>
    </row>
    <row r="5" spans="1:20" x14ac:dyDescent="0.25">
      <c r="H5" s="1"/>
      <c r="I5" s="1"/>
      <c r="J5" s="1"/>
      <c r="K5" s="1"/>
      <c r="L5" s="1"/>
      <c r="M5" s="1"/>
      <c r="N5" s="1"/>
      <c r="O5" s="1"/>
      <c r="P5" s="1"/>
      <c r="Q5" s="1"/>
    </row>
    <row r="6" spans="1:20" x14ac:dyDescent="0.25">
      <c r="H6" s="1"/>
      <c r="I6" s="1"/>
      <c r="J6" s="1"/>
      <c r="K6" s="1"/>
      <c r="L6" s="1"/>
      <c r="M6" s="1"/>
      <c r="N6" s="1"/>
      <c r="O6" s="1"/>
      <c r="P6" s="1"/>
      <c r="Q6" s="1"/>
    </row>
    <row r="7" spans="1:20" x14ac:dyDescent="0.25">
      <c r="H7" s="1"/>
      <c r="I7" s="1"/>
      <c r="J7" s="1"/>
      <c r="K7" s="1"/>
      <c r="L7" s="1"/>
      <c r="M7" s="1"/>
      <c r="N7" s="1"/>
      <c r="O7" s="1"/>
      <c r="P7" s="1"/>
      <c r="Q7" s="1"/>
    </row>
    <row r="8" spans="1:20" x14ac:dyDescent="0.25">
      <c r="H8" s="1"/>
      <c r="I8" s="1"/>
      <c r="J8" s="1"/>
      <c r="K8" s="1"/>
      <c r="L8" s="1"/>
      <c r="M8" s="1"/>
      <c r="N8" s="1"/>
      <c r="O8" s="1"/>
      <c r="P8" s="1"/>
      <c r="Q8" s="1"/>
    </row>
    <row r="9" spans="1:20" x14ac:dyDescent="0.25">
      <c r="H9" s="1"/>
      <c r="I9" s="1"/>
      <c r="J9" s="1"/>
      <c r="K9" s="1"/>
      <c r="L9" s="1"/>
      <c r="M9" s="1"/>
      <c r="N9" s="1"/>
      <c r="O9" s="1"/>
      <c r="P9" s="1"/>
      <c r="Q9" s="1"/>
    </row>
    <row r="10" spans="1:20" x14ac:dyDescent="0.25">
      <c r="H10" s="1"/>
      <c r="I10" s="1"/>
      <c r="J10" s="1"/>
      <c r="K10" s="1"/>
      <c r="L10" s="1"/>
      <c r="M10" s="1"/>
      <c r="N10" s="1"/>
      <c r="O10" s="1"/>
      <c r="P10" s="1"/>
      <c r="Q10" s="1"/>
    </row>
    <row r="11" spans="1:20" x14ac:dyDescent="0.25">
      <c r="H11" s="1"/>
      <c r="I11" s="1"/>
      <c r="J11" s="1"/>
      <c r="K11" s="1"/>
      <c r="L11" s="1"/>
      <c r="M11" s="1"/>
      <c r="N11" s="1"/>
      <c r="O11" s="1"/>
      <c r="P11" s="1"/>
      <c r="Q11" s="1"/>
    </row>
    <row r="12" spans="1:20" x14ac:dyDescent="0.25">
      <c r="H12" s="1"/>
      <c r="I12" s="1"/>
      <c r="J12" s="1"/>
      <c r="K12" s="1"/>
      <c r="L12" s="1"/>
      <c r="M12" s="1"/>
      <c r="N12" s="1"/>
      <c r="O12" s="1"/>
      <c r="P12" s="1"/>
      <c r="Q12" s="1"/>
    </row>
    <row r="13" spans="1:20" x14ac:dyDescent="0.25">
      <c r="H13" s="1"/>
      <c r="I13" s="1"/>
      <c r="J13" s="1"/>
      <c r="K13" s="1"/>
      <c r="L13" s="1"/>
      <c r="M13" s="1"/>
      <c r="N13" s="1"/>
      <c r="O13" s="1"/>
      <c r="P13" s="1"/>
      <c r="Q13" s="1"/>
    </row>
    <row r="14" spans="1:20" x14ac:dyDescent="0.25">
      <c r="H14" s="1"/>
      <c r="I14" s="1"/>
      <c r="J14" s="1"/>
      <c r="K14" s="1"/>
      <c r="L14" s="1"/>
      <c r="M14" s="1"/>
      <c r="N14" s="1"/>
      <c r="O14" s="1"/>
      <c r="P14" s="1"/>
      <c r="Q14" s="1"/>
    </row>
  </sheetData>
  <conditionalFormatting sqref="A2:R3">
    <cfRule type="expression" dxfId="2" priority="1" stopIfTrue="1">
      <formula>A2=""</formula>
    </cfRule>
    <cfRule type="expression" dxfId="1" priority="2" stopIfTrue="1">
      <formula>$R2="True"</formula>
    </cfRule>
    <cfRule type="expression" dxfId="0" priority="3" stopIfTrue="1">
      <formula>$R2="False"</formula>
    </cfRule>
  </conditionalFormatting>
  <hyperlinks>
    <hyperlink ref="B2" r:id="rId1" xr:uid="{00000000-0004-0000-0000-000000000000}"/>
    <hyperlink ref="B3" r:id="rId2" xr:uid="{00000000-0004-0000-0000-000001000000}"/>
  </hyperlinks>
  <pageMargins left="0.7" right="0.7" top="0.75" bottom="0.75" header="0.3" footer="0.3"/>
  <legacyDrawing r:id="rId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vt:i4>
      </vt:variant>
    </vt:vector>
  </HeadingPairs>
  <TitlesOfParts>
    <vt:vector size="1" baseType="lpstr">
      <vt:lpstr>Case-Study_Application-Paper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Dominik Krakau</cp:lastModifiedBy>
  <dcterms:created xsi:type="dcterms:W3CDTF">2026-10-09T12:51:29Z</dcterms:created>
  <dcterms:modified xsi:type="dcterms:W3CDTF">2026-10-13T12:10:19Z</dcterms:modified>
</cp:coreProperties>
</file>
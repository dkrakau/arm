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DieseArbeitsmappe" defaultThemeVersion="124226"/>
  <mc:AlternateContent xmlns:mc="http://schemas.openxmlformats.org/markup-compatibility/2006">
    <mc:Choice Requires="x15">
      <x15ac:absPath xmlns:x15ac="http://schemas.microsoft.com/office/spreadsheetml/2010/11/ac" url="C:\Users\Dominik\Documents\arm\evaluation\excel\"/>
    </mc:Choice>
  </mc:AlternateContent>
  <xr:revisionPtr revIDLastSave="0" documentId="13_ncr:1_{62F9EB60-A2E1-454A-9A9B-E0FC29D2513E}" xr6:coauthVersionLast="47" xr6:coauthVersionMax="47" xr10:uidLastSave="{00000000-0000-0000-0000-000000000000}"/>
  <bookViews>
    <workbookView xWindow="-120" yWindow="-120" windowWidth="38640" windowHeight="21120" xr2:uid="{00000000-000D-0000-FFFF-FFFF00000000}"/>
  </bookViews>
  <sheets>
    <sheet name="Benchmark_Evaluation-Paper" sheetId="1" r:id="rId1"/>
    <sheet name="Case-Study_Application-Paper" sheetId="2" r:id="rId2"/>
    <sheet name="Other" sheetId="3" r:id="rId3"/>
    <sheet name="Position_Vision-Paper" sheetId="4" r:id="rId4"/>
    <sheet name="System_Tool-Paper"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 i="5" l="1"/>
  <c r="T4" i="5"/>
  <c r="T5" i="5"/>
  <c r="T6" i="5"/>
  <c r="T7" i="5"/>
  <c r="T8" i="5"/>
  <c r="T9" i="5"/>
  <c r="T10" i="5"/>
  <c r="T11" i="5"/>
  <c r="T12" i="5"/>
  <c r="T13" i="5"/>
  <c r="T14" i="5"/>
  <c r="T15" i="5"/>
  <c r="S3" i="5"/>
  <c r="S4" i="5"/>
  <c r="S5" i="5"/>
  <c r="S6" i="5"/>
  <c r="S7" i="5"/>
  <c r="S8" i="5"/>
  <c r="S9" i="5"/>
  <c r="S10" i="5"/>
  <c r="S11" i="5"/>
  <c r="S12" i="5"/>
  <c r="S13" i="5"/>
  <c r="S14" i="5"/>
  <c r="S15" i="5"/>
  <c r="T2" i="5"/>
  <c r="S2" i="5"/>
  <c r="T2" i="4"/>
  <c r="S2" i="4"/>
  <c r="T2" i="3"/>
  <c r="S2" i="3"/>
  <c r="T3" i="2"/>
  <c r="T4" i="2"/>
  <c r="T5" i="2"/>
  <c r="T6" i="2"/>
  <c r="T7" i="2"/>
  <c r="T8" i="2"/>
  <c r="T9" i="2"/>
  <c r="T10" i="2"/>
  <c r="T11" i="2"/>
  <c r="T12" i="2"/>
  <c r="T13" i="2"/>
  <c r="T14" i="2"/>
  <c r="T15" i="2"/>
  <c r="T16" i="2"/>
  <c r="T17" i="2"/>
  <c r="T18" i="2"/>
  <c r="T19" i="2"/>
  <c r="T20" i="2"/>
  <c r="T21" i="2"/>
  <c r="T22" i="2"/>
  <c r="T23" i="2"/>
  <c r="T24" i="2"/>
  <c r="T25" i="2"/>
  <c r="T26" i="2"/>
  <c r="T27" i="2"/>
  <c r="T28" i="2"/>
  <c r="T29" i="2"/>
  <c r="S3" i="2"/>
  <c r="S4" i="2"/>
  <c r="S5" i="2"/>
  <c r="S6" i="2"/>
  <c r="S7" i="2"/>
  <c r="S8" i="2"/>
  <c r="S9" i="2"/>
  <c r="S10" i="2"/>
  <c r="S11" i="2"/>
  <c r="S12" i="2"/>
  <c r="S13" i="2"/>
  <c r="S14" i="2"/>
  <c r="S15" i="2"/>
  <c r="S16" i="2"/>
  <c r="S17" i="2"/>
  <c r="S18" i="2"/>
  <c r="S19" i="2"/>
  <c r="S20" i="2"/>
  <c r="S21" i="2"/>
  <c r="S22" i="2"/>
  <c r="S23" i="2"/>
  <c r="S24" i="2"/>
  <c r="S25" i="2"/>
  <c r="S26" i="2"/>
  <c r="S27" i="2"/>
  <c r="S28" i="2"/>
  <c r="S29" i="2"/>
  <c r="T2" i="2"/>
  <c r="S2" i="2"/>
  <c r="T2" i="1"/>
  <c r="S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70E96F81-AAA5-4D8B-A259-421B45ADDC9D}">
      <text>
        <r>
          <rPr>
            <sz val="9"/>
            <color indexed="81"/>
            <rFont val="Segoe UI"/>
            <charset val="1"/>
          </rPr>
          <t>Large language models for intelligent RDF knowledge graph construction: results from medical ontology mapping</t>
        </r>
      </text>
    </comment>
    <comment ref="I2" authorId="0" shapeId="0" xr:uid="{4E458A58-8B15-4949-BE6D-C484007EB832}">
      <text>
        <r>
          <rPr>
            <sz val="9"/>
            <color indexed="81"/>
            <rFont val="Segoe UI"/>
            <charset val="1"/>
          </rPr>
          <t>The paper is primarily about LLM-based medical ontology mapping and RDF knowledge graph construction; ChromaDB vector database is mentioned only as a retrieval tool within the pipeline, with no analysis, comparison, or discussion of vector database technology itself.</t>
        </r>
      </text>
    </comment>
    <comment ref="J2" authorId="0" shapeId="0" xr:uid="{B93C2F4A-D8F5-4D0D-BF28-A6920E2EFE52}">
      <text>
        <r>
          <rPr>
            <sz val="9"/>
            <color indexed="81"/>
            <rFont val="Segoe UI"/>
            <charset val="1"/>
          </rPr>
          <t>Comparative evaluation of six systems (five LLMs and one BERT-based method) for automated medical ontology mapping to SNOMED CT and RDF knowledge graph construction, using a combined quantitative and qualitative evaluation framework.</t>
        </r>
      </text>
    </comment>
    <comment ref="K2" authorId="0" shapeId="0" xr:uid="{865ED594-C95B-47B4-98D9-6DA2F00C2CB5}">
      <text>
        <r>
          <rPr>
            <sz val="9"/>
            <color indexed="81"/>
            <rFont val="Segoe UI"/>
            <charset val="1"/>
          </rPr>
          <t>A data preprocessing pipeline (terminology normalization, abbreviation expansion, unit standardization) combined with an LLM-powered semantic mapping engine. A ChromaDB vector database populated with pre-computed BioBERT embeddings is used for efficient concept retrieval via cosine similarity. Six systems are compared using precision, recall, F-score, confusion matrix analysis, and qualitative expert assessment on a dataset of 108 medical terms.</t>
        </r>
      </text>
    </comment>
    <comment ref="L2" authorId="0" shapeId="0" xr:uid="{F28DAB77-5CCE-4E6C-A081-E60637D1CD39}">
      <text>
        <r>
          <rPr>
            <sz val="9"/>
            <color indexed="81"/>
            <rFont val="Segoe UI"/>
            <charset val="1"/>
          </rPr>
          <t>ChromaDB; GPT-4o; Claude 3.5 Sonnet v2; Gemini 1.5 Pro; Llama 3.3 70B; DeepSeek R1; BERTMap; BioBERT</t>
        </r>
      </text>
    </comment>
    <comment ref="N2" authorId="0" shapeId="0" xr:uid="{696E4A73-A77F-4524-AA8D-1263E2FBD188}">
      <text>
        <r>
          <rPr>
            <sz val="9"/>
            <color indexed="81"/>
            <rFont val="Segoe UI"/>
            <charset val="1"/>
          </rPr>
          <t>Medical ontology mapping (SNOMED CT), RDF knowledge graph construction in healthcare</t>
        </r>
      </text>
    </comment>
    <comment ref="O2" authorId="0" shapeId="0" xr:uid="{D51679D3-30A1-43B1-A236-993836C6149F}">
      <text>
        <r>
          <rPr>
            <sz val="9"/>
            <color indexed="81"/>
            <rFont val="Segoe UI"/>
            <charset val="1"/>
          </rPr>
          <t>The paper evaluated six systems for mapping 108 medical terms to the SNOMED CT ontology. GPT-4o achieved the highest performance with 93.75% precision, 98.90% recall, and 96.26% F-score, substantially outperforming all other systems. Gemini 1.5 Pro (F1 63.31%) and Claude 3.5 Sonnet v2 (F1 60.56%) ranked second and third, while Llama 3.3 70B (F1 30.16%) and DeepSeek R1 (F1 28.81%) showed the weakest performance. A chi-square test confirmed statistically significant differences between methods (p &lt; 0.001, Cramer's V = 0.32). Error analysis showed that all systems struggled with complex quantitative measurements and multi-parameter clinical assessments, with GPT-4o's few errors concentrated in these areas.</t>
        </r>
      </text>
    </comment>
    <comment ref="P2" authorId="0" shapeId="0" xr:uid="{7456CE02-775E-4BE5-9343-0D405A53FCE3}">
      <text>
        <r>
          <rPr>
            <sz val="9"/>
            <color indexed="81"/>
            <rFont val="Segoe UI"/>
            <charset val="1"/>
          </rPr>
          <t>Performance variability depends on training data quality and coverage, with rare or highly specialized concepts presenting challenges for all methods; The need for domain expert validation remains, particularly for critical applications; GPT-4o's high computational demands and cost may limit its feasibility for certain applications; The dataset of 108 medical terms, while expert-validated, is limited in size and may not fully capture generalizability; Complex quantitative measurements and multi-parameter clinical assessments remain challenging even for the best-performing system</t>
        </r>
      </text>
    </comment>
    <comment ref="Q2" authorId="0" shapeId="0" xr:uid="{730CC544-CEEB-4FC9-B0B2-1CABDE2EF4C4}">
      <text>
        <r>
          <rPr>
            <sz val="9"/>
            <color indexed="81"/>
            <rFont val="Segoe UI"/>
            <charset val="1"/>
          </rPr>
          <t>Develop more efficient architectures that can match GPT-4o's performance while requiring fewer computational resources; Expand evaluation with a larger dataset covering more medical subfields and data formats to test scalability and adaptability; Explore models' performance with datasets involving more diverse relationships, temporal data, and hierarchical structures; Investigate hybrid approaches that combine symbolic reasoning with machine learning; Evaluate performance of different LLMs in niche areas of medical terminology mapping, especially in contexts with limited computational resources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DE70BA4E-E93E-4766-90D4-2EA5D9666629}">
      <text>
        <r>
          <rPr>
            <sz val="9"/>
            <color indexed="81"/>
            <rFont val="Segoe UI"/>
            <family val="2"/>
          </rPr>
          <t>Utilizing Large Language Models for Enhanced Clinical Trial Matching: A Study on Automation in Patient Screening</t>
        </r>
      </text>
    </comment>
    <comment ref="I2" authorId="0" shapeId="0" xr:uid="{69775A34-DE5E-4B88-9BE2-3E1742475207}">
      <text>
        <r>
          <rPr>
            <sz val="9"/>
            <color indexed="81"/>
            <rFont val="Segoe UI"/>
            <family val="2"/>
          </rPr>
          <t>The vector database is mentioned only in passing as a retrieval tool for selecting relevant document sections before LLM processing; the paper does not examine, compare, or analyze vector database technology, indexing methods, or similarity search in any depth.</t>
        </r>
      </text>
    </comment>
    <comment ref="J2" authorId="0" shapeId="0" xr:uid="{EAF69E81-083E-49FF-91BE-2F4F8C29D6DD}">
      <text>
        <r>
          <rPr>
            <sz val="9"/>
            <color indexed="81"/>
            <rFont val="Segoe UI"/>
            <family val="2"/>
          </rPr>
          <t>Automated clinical trial eligibility screening using large language models (GPT-3.5 Turbo and GPT-4) to match patients to trials based on unstructured clinical notes, evaluated on the n2c2 2018 dataset.</t>
        </r>
      </text>
    </comment>
    <comment ref="K2" authorId="0" shapeId="0" xr:uid="{2A88E4EB-4958-4F0E-A7AE-07C4F63139F2}">
      <text>
        <r>
          <rPr>
            <sz val="9"/>
            <color indexed="81"/>
            <rFont val="Segoe UI"/>
            <family val="2"/>
          </rPr>
          <t>Medical documents are embedded into a vector database for relevant section retrieval, then LLMs (GPT-3.5 Turbo, GPT-4) are applied with structured JSON output and chain-of-thought prompting techniques, combined with manually created or LLM-generated expert guidance, to assess patient records against 13 eligibility criteria.</t>
        </r>
      </text>
    </comment>
    <comment ref="L2" authorId="0" shapeId="0" xr:uid="{04EE3566-3ED3-4EB0-AE3A-65DDB7AEEF3F}">
      <text>
        <r>
          <rPr>
            <sz val="9"/>
            <color indexed="81"/>
            <rFont val="Segoe UI"/>
            <family val="2"/>
          </rPr>
          <t>GPT-3.5 Turbo; GPT-4; Llama2</t>
        </r>
      </text>
    </comment>
    <comment ref="N2" authorId="0" shapeId="0" xr:uid="{0088C3F4-3F28-475D-87E1-46F7FC63992B}">
      <text>
        <r>
          <rPr>
            <sz val="9"/>
            <color indexed="81"/>
            <rFont val="Segoe UI"/>
            <family val="2"/>
          </rPr>
          <t>Clinical trial patient screening and eligibility matching in medicine</t>
        </r>
      </text>
    </comment>
    <comment ref="O2" authorId="0" shapeId="0" xr:uid="{800FC0F9-BB1D-4DDD-8DEB-260B9A421D6A}">
      <text>
        <r>
          <rPr>
            <sz val="9"/>
            <color indexed="81"/>
            <rFont val="Segoe UI"/>
            <family val="2"/>
          </rPr>
          <t>The paper evaluated GPT-3.5 Turbo and GPT-4 for zero-shot clinical trial eligibility screening on the n2c2 2018 dataset (202 patient records, 13 criteria). GPT-3.5 Turbo achieved an accuracy of 0.81 and micro F1 of 0.79, while GPT-4 achieved an accuracy of 0.87 and micro F1 of 0.86, with structured JSON output and manual expert guidance being the best-performing prompting format for both. The method reduced screening time from approximately 45 minutes per patient to 1-5 minutes. Results were competitive with prior rule-based and pattern-based methods from the original n2c2 challenge, while requiring significantly less manual effort and technical expertise.</t>
        </r>
      </text>
    </comment>
    <comment ref="P2" authorId="0" shapeId="0" xr:uid="{BFBE7011-476A-476C-9A86-C9FDBBD221BE}">
      <text>
        <r>
          <rPr>
            <sz val="9"/>
            <color indexed="81"/>
            <rFont val="Segoe UI"/>
            <family val="2"/>
          </rPr>
          <t>Variability in performance across different criteria, particularly time-sensitive or multi-requirement criteria; Failure to understand certain semantics within patient EHR, including the relation of different events in a patient's medical history; LLM hallucinations generating incorrect evidence, posing challenges for consistent and reliable results in medical contexts; Insufficient label generation guidelines on the n2c2 website prevented further exploration of potentially mislabeled ground truth criteria; GPT-4 testing was limited to a subset of 40 patients due to cost limitations</t>
        </r>
      </text>
    </comment>
    <comment ref="Q2" authorId="0" shapeId="0" xr:uid="{44643A17-E3EE-4667-9068-8031AADFCB71}">
      <text>
        <r>
          <rPr>
            <sz val="9"/>
            <color indexed="81"/>
            <rFont val="Segoe UI"/>
            <family val="2"/>
          </rPr>
          <t>Adoption of few-shot prompting and enhanced prompt engineering techniques to bolster LLM performance; Leveraging prompt engineering techniques when creating LLM-generated expert guidance to increase accuracy; Sampling answers from the LLM to ensure decision certainty; Expanding testing across diverse clinical datasets to identify and mitigate weaknesses; Automatically customizing prompts on a per-criteria basis to increase performance and ease of use; Determining the potential of the approach when implemented on real clinical data</t>
        </r>
      </text>
    </comment>
    <comment ref="H3" authorId="0" shapeId="0" xr:uid="{CCC73F95-9241-4563-81E9-AE4AAE578D72}">
      <text>
        <r>
          <rPr>
            <sz val="9"/>
            <color indexed="81"/>
            <rFont val="Segoe UI"/>
            <family val="2"/>
          </rPr>
          <t>AN INTEGRATED FRAMEWORK BASED ON TEXTURE FEATURES, CUCKOO SEARCH AND RELEVANCE VECTOR MACHINE FOR MEDICAL IMAGE RETRIEVAL SYSTEM</t>
        </r>
      </text>
    </comment>
    <comment ref="I3" authorId="0" shapeId="0" xr:uid="{C49BDEF0-2E89-44F1-BBA2-1695EDA4FD8A}">
      <text>
        <r>
          <rPr>
            <sz val="9"/>
            <color indexed="81"/>
            <rFont val="Segoe UI"/>
            <family val="2"/>
          </rPr>
          <t>The paper is primarily about medical image retrieval using feature extraction, selection, and classification; the term 'feature vector database' refers only to a storage concept for feature vectors, not to vector database systems or their core indexing/similarity search technology.</t>
        </r>
      </text>
    </comment>
    <comment ref="J3" authorId="0" shapeId="0" xr:uid="{00C8F226-51C2-4911-8971-A2A2464DE025}">
      <text>
        <r>
          <rPr>
            <sz val="9"/>
            <color indexed="81"/>
            <rFont val="Segoe UI"/>
            <family val="2"/>
          </rPr>
          <t>Content-based medical image retrieval (CBMIR) using an integrated framework combining texture feature extraction, feature selection, feature classification, and similarity measurement to address high feature dimensionality.</t>
        </r>
      </text>
    </comment>
    <comment ref="K3" authorId="0" shapeId="0" xr:uid="{2272BCBD-62D4-4593-9A2E-2DF6F71B57C7}">
      <text>
        <r>
          <rPr>
            <sz val="9"/>
            <color indexed="81"/>
            <rFont val="Segoe UI"/>
            <family val="2"/>
          </rPr>
          <t>Local Binary Patterns (LBP) for texture feature extraction, Fuzzy-based Cuckoo Search (FCKS) for feature selection, Fuzzy-based Relevance Vector Machine (FRVM) for classification, and Euclidean Distance for similarity measurement between query and database images.</t>
        </r>
      </text>
    </comment>
    <comment ref="N3" authorId="0" shapeId="0" xr:uid="{EC099033-1906-420D-9E86-769D364F88FD}">
      <text>
        <r>
          <rPr>
            <sz val="9"/>
            <color indexed="81"/>
            <rFont val="Segoe UI"/>
            <family val="2"/>
          </rPr>
          <t>Medical image retrieval (Lung, Liver, Kidney, Brain images)</t>
        </r>
      </text>
    </comment>
    <comment ref="O3" authorId="0" shapeId="0" xr:uid="{C7828861-565A-457E-9301-A0987C8C78F1}">
      <text>
        <r>
          <rPr>
            <sz val="9"/>
            <color indexed="81"/>
            <rFont val="Segoe UI"/>
            <family val="2"/>
          </rPr>
          <t>The paper proposes an integrated CBMIR framework that extracts LBP texture features, reduces dimensionality via FCKS, classifies features with FRVM, and measures similarity using Euclidean distance. The system was implemented on a database of 1000 gray-level medical images of human organs. The proposed FCKS-FRVM approach was experimentally compared against FPSO-FRVM and PSO-RVM methods. The authors report that the proposed system achieved high retrieval precision and recall compared to the two comparison methods.</t>
        </r>
      </text>
    </comment>
    <comment ref="H4" authorId="0" shapeId="0" xr:uid="{7C33365C-7C72-49B5-AC31-E5F1033E3EBF}">
      <text>
        <r>
          <rPr>
            <sz val="9"/>
            <color indexed="81"/>
            <rFont val="Segoe UI"/>
            <family val="2"/>
          </rPr>
          <t>Thyro-GenAI: A Chatbot Using Retrieval-Augmented Generative Models for Personalized Thyroid Disease Management</t>
        </r>
      </text>
    </comment>
    <comment ref="I4" authorId="0" shapeId="0" xr:uid="{E8666C9C-4540-4033-AF07-26E3D5A9F3A8}">
      <text>
        <r>
          <rPr>
            <sz val="9"/>
            <color indexed="81"/>
            <rFont val="Segoe UI"/>
            <family val="2"/>
          </rPr>
          <t>The paper is primarily a medical AI application study about a thyroid disease chatbot; the vector database is only mentioned as a component of the RAG pipeline for storing embeddings, with no discussion of specific vector database systems, indexing methods, or similarity search technology.</t>
        </r>
      </text>
    </comment>
    <comment ref="J4" authorId="0" shapeId="0" xr:uid="{40B3B802-37EC-4762-811E-45D20BA5E691}">
      <text>
        <r>
          <rPr>
            <sz val="9"/>
            <color indexed="81"/>
            <rFont val="Segoe UI"/>
            <family val="2"/>
          </rPr>
          <t>Development and evaluation of a RAG-based chatbot (Thyro-GenAI) for personalized thyroid disease management, comparing its clinical reasoning output and reference quality against commercial LLMs (ChatGPT-4o, Perplexity, Claude 3.5 Sonnet).</t>
        </r>
      </text>
    </comment>
    <comment ref="K4" authorId="0" shapeId="0" xr:uid="{CD77D177-DAAC-4356-9F0B-12E2668393E6}">
      <text>
        <r>
          <rPr>
            <sz val="9"/>
            <color indexed="81"/>
            <rFont val="Segoe UI"/>
            <family val="2"/>
          </rPr>
          <t>A RAG-based chatbot was built by converting thyroid textbooks and guidelines into embeddings stored in a vector database, then retrieving relevant passages to augment LLM queries. Three thyroid specialists evaluated response quality, reference quality, and hallucination rates across four chatbots using personalized clinical questions.</t>
        </r>
      </text>
    </comment>
    <comment ref="L4" authorId="0" shapeId="0" xr:uid="{5549895B-FA11-4AF9-A3A1-8358CC0A6ED9}">
      <text>
        <r>
          <rPr>
            <sz val="9"/>
            <color indexed="81"/>
            <rFont val="Segoe UI"/>
            <family val="2"/>
          </rPr>
          <t>Thyro-GenAI; ChatGPT-4o; Perplexity AI; Claude 3.5 Sonnet</t>
        </r>
      </text>
    </comment>
    <comment ref="N4" authorId="0" shapeId="0" xr:uid="{F7D0B6FA-D247-431F-A4EE-73217FB5F228}">
      <text>
        <r>
          <rPr>
            <sz val="9"/>
            <color indexed="81"/>
            <rFont val="Segoe UI"/>
            <family val="2"/>
          </rPr>
          <t>Thyroid disease management and clinical decision support for frontline physicians</t>
        </r>
      </text>
    </comment>
    <comment ref="O4" authorId="0" shapeId="0" xr:uid="{81FD9593-9EC2-4813-A866-52BD6C2B8B67}">
      <text>
        <r>
          <rPr>
            <sz val="9"/>
            <color indexed="81"/>
            <rFont val="Segoe UI"/>
            <family val="2"/>
          </rPr>
          <t>Thyro-GenAI achieved the highest inverse-weighted mean rank for overall response quality (3.0) and the second-highest for reference quality (3.1) among the four chatbots tested. The other LLMs were criticized for omitting critical information or including inaccurate details, while Thyro-GenAI's use of a vector database of curated textbooks and guidelines produced more reliable, evidence-based responses. Thyro-GenAI ranked second to Perplexity in reference relevance, attributed to the limited comprehensiveness and infrequent updates of its database. The study concludes that RAG-based chatbots can reduce hallucinations and support clinical decision-making, though further refinement of the underlying knowledge base is needed.</t>
        </r>
      </text>
    </comment>
    <comment ref="P4" authorId="0" shapeId="0" xr:uid="{9D59E277-30EF-45C5-960A-D241135568C7}">
      <text>
        <r>
          <rPr>
            <sz val="9"/>
            <color indexed="81"/>
            <rFont val="Segoe UI"/>
            <family val="2"/>
          </rPr>
          <t>Evaluation relied on human graders, introducing potential bias; Small number of evaluators (N=3) limits statistical power; Cloud-based hosting may be inaccessible in environments with unstable or limited internet connections; No ablation analysis was conducted to isolate the specific contribution of RAG technology; RAG systems exhibit limitations in semantic comprehension of complex medical ontologies and intricate reasoning pathway relationships; The vector database of textbooks and guidelines is infrequently updated, potentially lacking the latest knowledge; Occasional inaccuracies and hallucinations persist due to limited datasets</t>
        </r>
      </text>
    </comment>
    <comment ref="Q4" authorId="0" shapeId="0" xr:uid="{22F08DD8-7D09-4BE3-BBF3-D4672ECDDC86}">
      <text>
        <r>
          <rPr>
            <sz val="9"/>
            <color indexed="81"/>
            <rFont val="Segoe UI"/>
            <family val="2"/>
          </rPr>
          <t>Expand the vector database to include a broader range of data such as the latest updated guidelines and textbooks; Develop an offline mode or lightweight model for environments with limited connectivity; Conduct an ablation analysis to better understand the specific impact of RAG technology; Include a larger number of evaluators to enable statistical analysis and enhance objectivity; Continuously update and enhance the system to remain competitive as commercial LLMs release new versions; Improve semantic comprehension of complex medical ontologies and intricate reasoning pathway relationships</t>
        </r>
      </text>
    </comment>
    <comment ref="H5" authorId="0" shapeId="0" xr:uid="{B277F032-4A09-417C-A2F1-9497223ACFBB}">
      <text>
        <r>
          <rPr>
            <sz val="9"/>
            <color indexed="81"/>
            <rFont val="Segoe UI"/>
            <family val="2"/>
          </rPr>
          <t>A novel approach for identification of zoonotic trypanosome utilizing deep metric learning and vector database-based image retrieval system</t>
        </r>
      </text>
    </comment>
    <comment ref="I5" authorId="0" shapeId="0" xr:uid="{54B1EF22-D6A7-49C5-A96A-4117C64AEF54}">
      <text>
        <r>
          <rPr>
            <sz val="9"/>
            <color indexed="81"/>
            <rFont val="Segoe UI"/>
            <family val="2"/>
          </rPr>
          <t>The paper is primarily a medical diagnostic application that uses a vector database and KNN as a retrieval tool within its image classification pipeline; it does not propose, analyze, benchmark, or improve vector database technology itself.</t>
        </r>
      </text>
    </comment>
    <comment ref="J5" authorId="0" shapeId="0" xr:uid="{C4D46DB3-8B4F-49CE-B254-3FA398A64BE7}">
      <text>
        <r>
          <rPr>
            <sz val="9"/>
            <color indexed="81"/>
            <rFont val="Segoe UI"/>
            <family val="2"/>
          </rPr>
          <t>Development of a hybrid deep metric learning (DML) and vector database-based image retrieval system for automatic identification of zoonotic Trypanosoma species (T. cruzi, T. brucei, T. evansi) in microscopic thin-blood film images.</t>
        </r>
      </text>
    </comment>
    <comment ref="K5" authorId="0" shapeId="0" xr:uid="{F089BA98-9A55-4893-9EDE-90248E54DEE9}">
      <text>
        <r>
          <rPr>
            <sz val="9"/>
            <color indexed="81"/>
            <rFont val="Segoe UI"/>
            <family val="2"/>
          </rPr>
          <t>A ResNet50 backbone neural network trained with Triplet Margin Loss for deep metric learning, combined with a KNN-based image retrieval process over a vector database of embedded feature vectors. YOLOv4-tiny object detection is integrated, and five-fold cross-validation is used for evaluation.</t>
        </r>
      </text>
    </comment>
    <comment ref="M5" authorId="0" shapeId="0" xr:uid="{BC89DAEA-9B49-459C-AB98-9F6FA2882F6A}">
      <text>
        <r>
          <rPr>
            <sz val="9"/>
            <color indexed="81"/>
            <rFont val="Segoe UI"/>
            <family val="2"/>
          </rPr>
          <t>KNN</t>
        </r>
      </text>
    </comment>
    <comment ref="N5" authorId="0" shapeId="0" xr:uid="{CECD28B3-8A1E-4E8C-B435-330E98C1E9AD}">
      <text>
        <r>
          <rPr>
            <sz val="9"/>
            <color indexed="81"/>
            <rFont val="Segoe UI"/>
            <family val="2"/>
          </rPr>
          <t>Medical and veterinary parasitology – identification of Trypanosoma species in Giemsa-stained blood film microscopic images</t>
        </r>
      </text>
    </comment>
    <comment ref="O5" authorId="0" shapeId="0" xr:uid="{F522D8E4-A588-4DAA-9653-D29F0E9EDB55}">
      <text>
        <r>
          <rPr>
            <sz val="9"/>
            <color indexed="81"/>
            <rFont val="Segoe UI"/>
            <family val="2"/>
          </rPr>
          <t>The paper developed a DML model using ResNet50 with Triplet Margin Loss to embed microscopic blood film images into a low-dimensional feature space, then used KNN retrieval over a vector database for classification. The model achieved accuracy exceeding 99.71%, recall of 96%, and precision of 98% in discriminating three Trypanosoma species from other parasites and blood cells. Five-fold cross-validation confirmed robustness across dataset variations. The optimal number of feature vectors was found to be 256, yielding an average recall of 96.74% and F1 score of 96.64%. The approach demonstrated that DML-based image retrieval can outperform conventional classification for closely related biological classes.</t>
        </r>
      </text>
    </comment>
    <comment ref="P5" authorId="0" shapeId="0" xr:uid="{35CE782F-E51A-4EF3-A019-F20A55CDE2C3}">
      <text>
        <r>
          <rPr>
            <sz val="9"/>
            <color indexed="81"/>
            <rFont val="Segoe UI"/>
            <family val="2"/>
          </rPr>
          <t>Limited dataset size and absence of diversity can impact data quality and cause class imbalance; Use of thin blood film images constrains generalization to alternative diagnostic techniques or sample types; Significant color variability within images diminishes network performance; Generalization to images from alternative mobile phone cameras or lower resolutions is not addressed; Diversity and representativeness of the dataset for the three Trypanosome classes limits generalizability; False negatives persist for T. evansi, particularly at low kNN values; Determining a suitable kNN value is contingent on the specific environment and dataset variation</t>
        </r>
      </text>
    </comment>
    <comment ref="Q5" authorId="0" shapeId="0" xr:uid="{741E364E-CA4F-4D6C-A280-03CA53BDEB25}">
      <text>
        <r>
          <rPr>
            <sz val="9"/>
            <color indexed="81"/>
            <rFont val="Segoe UI"/>
            <family val="2"/>
          </rPr>
          <t>Need to curate diverse and representative datasets to improve generalizability; Validation of the proposed methods across a range of diagnostic scenarios and imaging devices; Development of robust models that handle variations in imaging devices and resolutions; Further optimization to reduce false negatives, potentially by increasing the quantity of feature vectors per class label; Addressing the challenge of selecting an appropriate kNN value for different biological datasets</t>
        </r>
      </text>
    </comment>
    <comment ref="H6" authorId="0" shapeId="0" xr:uid="{80E28EC9-9F1F-435F-895E-E3E226F0C739}">
      <text>
        <r>
          <rPr>
            <sz val="9"/>
            <color indexed="81"/>
            <rFont val="Segoe UI"/>
            <family val="2"/>
          </rPr>
          <t>Enhancing healthcare with intelligent environments: Integrating medical knowledge into GPT for advanced medical personal chatbots</t>
        </r>
      </text>
    </comment>
    <comment ref="I6" authorId="0" shapeId="0" xr:uid="{753A5E9A-E0CE-479D-9660-78C1DDB3F3BC}">
      <text>
        <r>
          <rPr>
            <sz val="9"/>
            <color indexed="81"/>
            <rFont val="Segoe UI"/>
            <family val="2"/>
          </rPr>
          <t>The paper is primarily about a medical chatbot application integrating GPT-4 with a healthcare platform; vector databases are mentioned only in passing as a retrieval mechanism without any technical discussion of their architecture, indexing, performance, or comparison.</t>
        </r>
      </text>
    </comment>
    <comment ref="J6" authorId="0" shapeId="0" xr:uid="{9428B479-076F-407B-8A7F-98A1794F99FB}">
      <text>
        <r>
          <rPr>
            <sz val="9"/>
            <color indexed="81"/>
            <rFont val="Segoe UI"/>
            <family val="2"/>
          </rPr>
          <t>Integrating a personal medical chatbot (ChatGPT/GPT-4o) with the Insieme e-health platform to create a national home doctor application (HomeDoctor) providing 24/7 medical information in a smart-city context.</t>
        </r>
      </text>
    </comment>
    <comment ref="K6" authorId="0" shapeId="0" xr:uid="{32FAF9B0-4648-40D7-ACA7-AC1BC7111550}">
      <text>
        <r>
          <rPr>
            <sz val="9"/>
            <color indexed="81"/>
            <rFont val="Segoe UI"/>
            <family val="2"/>
          </rPr>
          <t>Deploying ChatGPT within the Insieme platform's verified medical knowledge, using word embeddings and vector databases for efficient data retrieval and context-aware responses, evaluated via a Flutter-based prototype on computer and mobile platforms.</t>
        </r>
      </text>
    </comment>
    <comment ref="L6" authorId="0" shapeId="0" xr:uid="{49D2EDEC-D1EE-4BEA-BADB-23A49D952432}">
      <text>
        <r>
          <rPr>
            <sz val="9"/>
            <color indexed="81"/>
            <rFont val="Segoe UI"/>
            <family val="2"/>
          </rPr>
          <t>ChatGPT; GPT-4; GPT-4o; Insieme; HomeDoctor; Llama 2; Llama 3; Flutter</t>
        </r>
      </text>
    </comment>
    <comment ref="N6" authorId="0" shapeId="0" xr:uid="{350861E3-BB67-49AF-A1CA-1CCD17D6A1B2}">
      <text>
        <r>
          <rPr>
            <sz val="9"/>
            <color indexed="81"/>
            <rFont val="Segoe UI"/>
            <family val="2"/>
          </rPr>
          <t>National healthcare and home medicine, specifically a 24/7 medical information chatbot for smart-city ecosystems in Slovenia</t>
        </r>
      </text>
    </comment>
    <comment ref="O6" authorId="0" shapeId="0" xr:uid="{7F1DE585-D898-43A1-9D9E-7BB0ADE9B7BF}">
      <text>
        <r>
          <rPr>
            <sz val="9"/>
            <color indexed="81"/>
            <rFont val="Segoe UI"/>
            <family val="2"/>
          </rPr>
          <t>The paper presents a prototype system (HomeDoctor) that combines GPT-4o with the Insieme platform's local medical knowledge, using word embeddings and vector databases for data retrieval. Preliminary studies indicate high user satisfaction and positive healthcare impacts, demonstrating the system's ability to provide 24/7 online medical assistance. Local open-source models (Llama 2, Llama 3) were tested but proved less effective, highlighting the need for models trained in Slovenian. The platform supports multilingual interactions and country-specific knowledge, and the authors outline a roadmap for expanding the database, integrating local sensors, and conducting broader user studies.</t>
        </r>
      </text>
    </comment>
    <comment ref="P6" authorId="0" shapeId="0" xr:uid="{49E244C0-33EE-4011-9C72-C05F22681313}">
      <text>
        <r>
          <rPr>
            <sz val="9"/>
            <color indexed="81"/>
            <rFont val="Segoe UI"/>
            <family val="2"/>
          </rPr>
          <t>Data privacy concerns regarding sensitive personal medical data being sent to global servers; Cost of OpenAI API for serving a large number of patients; Local models (Llama 2, Llama 3) proved less effective, especially in non-English languages; Dependence on input quality: incorrect user input leads to unsatisfactory replies; GPT may generate outputs lacking context, accuracy, and understanding of medical nuances</t>
        </r>
      </text>
    </comment>
    <comment ref="Q6" authorId="0" shapeId="0" xr:uid="{D4E28BF6-EFC9-4666-9E1E-2DF868842DEE}">
      <text>
        <r>
          <rPr>
            <sz val="9"/>
            <color indexed="81"/>
            <rFont val="Segoe UI"/>
            <family val="2"/>
          </rPr>
          <t>Enhancing natural language processing capabilities to better understand and respond to user queries; Expanding the system's database to include a broader range of medical knowledge; Conducting extensive user studies to gather feedback and identify areas for improvement; Integrating advanced features such as predictive analytics for early disease detection and personalized health recommendations; Integration with other health information systems and sources within Slovenia; Testing more advanced open-source models for local deployment; Adding local sensor data from home environments to improve input quality</t>
        </r>
      </text>
    </comment>
    <comment ref="H7" authorId="0" shapeId="0" xr:uid="{09809A3F-F0F1-4D66-BDF8-7B566362D8C1}">
      <text>
        <r>
          <rPr>
            <sz val="9"/>
            <color indexed="81"/>
            <rFont val="Segoe UI"/>
            <family val="2"/>
          </rPr>
          <t>DermAI: An Innovative AI-Driven Chatbot for Enhanced Dermatological Diagnosis and Patient Interaction</t>
        </r>
      </text>
    </comment>
    <comment ref="I7" authorId="0" shapeId="0" xr:uid="{83015C89-140A-4266-A702-69F1E3D6D91C}">
      <text>
        <r>
          <rPr>
            <sz val="9"/>
            <color indexed="81"/>
            <rFont val="Segoe UI"/>
            <family val="2"/>
          </rPr>
          <t>The paper is primarily about an AI chatbot for dermatological diagnosis; AstraDB vector database is mentioned only as one component of the RAG pipeline without any in-depth discussion of vector indexing, similarity search algorithms, or database architecture.</t>
        </r>
      </text>
    </comment>
    <comment ref="J7" authorId="0" shapeId="0" xr:uid="{5A7090F4-244E-4AF7-B51F-178ECC1E9954}">
      <text>
        <r>
          <rPr>
            <sz val="9"/>
            <color indexed="81"/>
            <rFont val="Segoe UI"/>
            <family val="2"/>
          </rPr>
          <t>Developing DermAI, an AI-based chatbot for dermatological diagnosis that integrates ResNet-50 image classification with Retrieval-Augmented Generation (RAG) to provide accurate skin disease classification and personalized patient interaction, particularly for resource-limited regions.</t>
        </r>
      </text>
    </comment>
    <comment ref="K7" authorId="0" shapeId="0" xr:uid="{D9FC1C41-88C9-4E53-8B76-C97B0D44449E}">
      <text>
        <r>
          <rPr>
            <sz val="9"/>
            <color indexed="81"/>
            <rFont val="Segoe UI"/>
            <family val="2"/>
          </rPr>
          <t>Integration of ResNet-50 for skin disease image classification, LLM via Chainlit for conversational interface, RAG pipeline using AstraDB vector database and OpenAI embedding model for knowledge retrieval, and comparative analysis of five CNN models (ResNet-50, VGG-19, Inception-V3, MobileNet-V2, EfficientNet-B4) on a common skin diseases dataset.</t>
        </r>
      </text>
    </comment>
    <comment ref="L7" authorId="0" shapeId="0" xr:uid="{BF1C1305-A50E-4EFF-8B6F-B312B48BA958}">
      <text>
        <r>
          <rPr>
            <sz val="9"/>
            <color indexed="81"/>
            <rFont val="Segoe UI"/>
            <family val="2"/>
          </rPr>
          <t>AstraDB; Chainlit; OpenAI; ChatGPT-4o; Model Dermatol; Aysa by Visualdx</t>
        </r>
      </text>
    </comment>
    <comment ref="N7" authorId="0" shapeId="0" xr:uid="{7EC11571-9410-4EF5-9C33-B418935605F4}">
      <text>
        <r>
          <rPr>
            <sz val="9"/>
            <color indexed="81"/>
            <rFont val="Segoe UI"/>
            <family val="2"/>
          </rPr>
          <t>Dermatology / skin disease diagnosis and patient interaction</t>
        </r>
      </text>
    </comment>
    <comment ref="O7" authorId="0" shapeId="0" xr:uid="{18CC1DFE-0598-4858-BB9E-062EA99BC55B}">
      <text>
        <r>
          <rPr>
            <sz val="9"/>
            <color indexed="81"/>
            <rFont val="Segoe UI"/>
            <family val="2"/>
          </rPr>
          <t>The paper developed DermAI, combining ResNet-50 image classification with a RAG-based conversational AI system. The model achieved 92.6% sensitivity, 99.8% specificity, and 99.9% AUC, with a misclassification rate of 2.17% and 100% validation accuracy on specific conditions such as melanoma, chickenpox, and shingles. In the comparative study, ResNet-50 outperformed VGG-19, Inception-V3, MobileNet-V2, and EfficientNet-B4. The hallucination score averaged 7%, well below the 50% threshold, indicating grounded responses. Rouge metrics for text summarization showed moderate performance, with Rouge-2 F1 of 36% and Rouge-L F1 of 50%, indicating room for improvement in sequence-level text generation.</t>
        </r>
      </text>
    </comment>
    <comment ref="P7" authorId="0" shapeId="0" xr:uid="{BFA36FE5-2189-442C-AFA6-06FA32D6619E}">
      <text>
        <r>
          <rPr>
            <sz val="9"/>
            <color indexed="81"/>
            <rFont val="Segoe UI"/>
            <family val="2"/>
          </rPr>
          <t>Chainlit compatibility conflicts with certain Python modules and evolving versions add complexity; Chainlit applications can be computationally demanding; Acquiring medical data is difficult due to privacy concerns and doctor-patient confidentiality; Keeping sufficient images for both training and validation to avoid underfitting and overfitting; Rouge-2 recall of 35% indicates gaps in identifying all relevant bigrams; Rouge-L recall of 48% suggests gaps in capturing all relevant information in sequence prediction</t>
        </r>
      </text>
    </comment>
    <comment ref="Q7" authorId="0" shapeId="0" xr:uid="{83BB7331-56A9-4A93-9FB5-792B73287CC8}">
      <text>
        <r>
          <rPr>
            <sz val="9"/>
            <color indexed="81"/>
            <rFont val="Segoe UI"/>
            <family val="2"/>
          </rPr>
          <t>Integration of more extensive and diverse dermatological datasets from various sources and populations; Using cutting-edge computer vision techniques to enhance sensitivity and precision of skin condition detection; Incorporating multilingual support for broader global accessibility; Improving cultural sensitivity by accounting for regional nuances in expressing skin-related issues; Training the model on blurry images to handle low-quality user uploads; Strategic integration into telemedicine platforms for remote consultations; Integration with electronic health records (EHR) for personalized interactions</t>
        </r>
      </text>
    </comment>
    <comment ref="H8" authorId="0" shapeId="0" xr:uid="{D86D4623-DDF2-46EF-914A-D4BEA3D0DF7D}">
      <text>
        <r>
          <rPr>
            <sz val="9"/>
            <color indexed="81"/>
            <rFont val="Segoe UI"/>
            <family val="2"/>
          </rPr>
          <t>Evaluating a Nationally Localized AI Chatbot for Personalized Primary Care Guidance: Insights from the HomeDOCtor Deployment in Slovenia</t>
        </r>
      </text>
    </comment>
    <comment ref="I8" authorId="0" shapeId="0" xr:uid="{F384D6E1-0210-49BF-82C5-A073B8665B53}">
      <text>
        <r>
          <rPr>
            <sz val="9"/>
            <color indexed="81"/>
            <rFont val="Segoe UI"/>
            <family val="2"/>
          </rPr>
          <t>The paper is primarily about evaluating a healthcare AI chatbot's diagnostic performance and clinical utility; the Redis-based vector database is mentioned only as a component of the RAG architecture without any in-depth discussion of vector indexing, similarity search, or vector database technology.</t>
        </r>
      </text>
    </comment>
    <comment ref="J8" authorId="0" shapeId="0" xr:uid="{89F2C55B-4DFA-41E9-B6DE-E0AF29CA73C7}">
      <text>
        <r>
          <rPr>
            <sz val="9"/>
            <color indexed="81"/>
            <rFont val="Segoe UI"/>
            <family val="2"/>
          </rPr>
          <t>Evaluation of HomeDOCtor, a nationally localized AI chatbot for primary care guidance in Slovenia, assessing its diagnostic accuracy, contextual relevance, and practical viability compared to general-purpose LLMs in both international and national medical contexts.</t>
        </r>
      </text>
    </comment>
    <comment ref="K8" authorId="0" shapeId="0" xr:uid="{C7225B08-79FF-4836-A912-F1A19A064648}">
      <text>
        <r>
          <rPr>
            <sz val="9"/>
            <color indexed="81"/>
            <rFont val="Segoe UI"/>
            <family val="2"/>
          </rPr>
          <t>The system was tested using 100 international clinical vignettes from the Avey AI Benchmark Suite and 150 internal medicine exam questions from the University of Ljubljana. Pairwise statistical comparisons (two-proportion z-test with Bonferroni correction) were performed between HomeDOCtor variants and standalone LLMs. The system architecture combines RAG with a Redis-based vector database of curated national medical guidelines.</t>
        </r>
      </text>
    </comment>
    <comment ref="L8" authorId="0" shapeId="0" xr:uid="{D5A8AEE9-98F3-4EAB-9BF0-D0C4EAA394FE}">
      <text>
        <r>
          <rPr>
            <sz val="9"/>
            <color indexed="81"/>
            <rFont val="Segoe UI"/>
            <family val="2"/>
          </rPr>
          <t>Redis; ChatGPT-4o; ChatGPT o3 mini high; Gemini 2.5; Gemma 3; HomeDOCtor; Avey AI Benchmark Suite</t>
        </r>
      </text>
    </comment>
    <comment ref="N8" authorId="0" shapeId="0" xr:uid="{29F364CE-A336-4C04-849F-761F7E529D8D}">
      <text>
        <r>
          <rPr>
            <sz val="9"/>
            <color indexed="81"/>
            <rFont val="Segoe UI"/>
            <family val="2"/>
          </rPr>
          <t>Primary care medical triage, diagnostic support, and self-care guidance in the Slovenian healthcare system</t>
        </r>
      </text>
    </comment>
    <comment ref="O8" authorId="0" shapeId="0" xr:uid="{A1470B8B-B8CD-49E6-869C-782A96AFDA1F}">
      <text>
        <r>
          <rPr>
            <sz val="9"/>
            <color indexed="81"/>
            <rFont val="Segoe UI"/>
            <family val="2"/>
          </rPr>
          <t>HomeDOCtor achieved 99/100 correct diagnoses on international clinical vignettes, matching or exceeding state-of-the-art commercial LLMs. On nationally contextualized medical exam questions, HomeDOCtor 4o significantly outperformed ChatGPT-4o (90.7% vs. 80.7%, p=0.0135), demonstrating the value of localized RAG with curated national guidelines. Other pairwise comparisons (e.g., o3 mini high variants) did not reach statistical significance after Bonferroni correction. During its six-month nationwide deployment, the system received overwhelmingly positive user feedback with average response times under three seconds. The findings confirm that domain-specific, nationally adapted LLM systems can outperform general-purpose models in country-specific clinical applications.</t>
        </r>
      </text>
    </comment>
    <comment ref="P8" authorId="0" shapeId="0" xr:uid="{327EC1B6-99CC-4187-8187-AA290C3B9604}">
      <text>
        <r>
          <rPr>
            <sz val="9"/>
            <color indexed="81"/>
            <rFont val="Segoe UI"/>
            <family val="2"/>
          </rPr>
          <t>The system was evaluated primarily in the domain of internal medicine, limiting generalizability to pediatrics, mental health, or geriatric care; Usability evaluation was informal and limited to expert feedback; a formal user study is planned but not yet conducted; Due to GDPR constraints, personalization features and long-term interaction histories are currently unavailable; Absence of a formal error analysis; only informal internal reviews of incorrect responses were performed; The system is not yet integrated with patient electronic health records (EHRs) or biometric sensors; Broader international applicability requires additional adaptation to local clinical protocols, regulatory frameworks, and language norms</t>
        </r>
      </text>
    </comment>
    <comment ref="Q8" authorId="0" shapeId="0" xr:uid="{28E9A417-01C7-4DF3-8603-DD11F6F2E78C}">
      <text>
        <r>
          <rPr>
            <sz val="9"/>
            <color indexed="81"/>
            <rFont val="Segoe UI"/>
            <family val="2"/>
          </rPr>
          <t>Formal error analysis distinguishing between benign misclassifications, missed escalations, and potential risks; Formal usability study with written user consent; Expansion to other medical domains (pediatrics, mental health, geriatric care) with separate guideline integration; Consent-based personalization features and long-term interaction histories via national health portals; International adaptation to local clinical protocols, regulatory frameworks (e.g., HIPAA, EU Medical Device Regulation), and language norms</t>
        </r>
      </text>
    </comment>
    <comment ref="H9" authorId="0" shapeId="0" xr:uid="{590B57CA-AFBE-48F0-A044-C36A1B8B7806}">
      <text>
        <r>
          <rPr>
            <sz val="9"/>
            <color indexed="81"/>
            <rFont val="Segoe UI"/>
            <family val="2"/>
          </rPr>
          <t>An Insight Framework for Content based Medical Image Retrieval using Deep Convolutional Neural Network</t>
        </r>
      </text>
    </comment>
    <comment ref="I9" authorId="0" shapeId="0" xr:uid="{071EA63E-5B03-4DE9-ABD9-B0AC8D8DDF5C}">
      <text>
        <r>
          <rPr>
            <sz val="9"/>
            <color indexed="81"/>
            <rFont val="Segoe UI"/>
            <family val="2"/>
          </rPr>
          <t>The paper is primarily about medical image retrieval using DCNN features and DICOM metadata; a 'feature vector database' is mentioned only as a storage mechanism for feature vectors, with no discussion of vector database technology, indexing methods, or system comparisons.</t>
        </r>
      </text>
    </comment>
    <comment ref="J9" authorId="0" shapeId="0" xr:uid="{20CBF0BE-30A3-4258-AF20-B3F6A79525DC}">
      <text>
        <r>
          <rPr>
            <sz val="9"/>
            <color indexed="81"/>
            <rFont val="Segoe UI"/>
            <family val="2"/>
          </rPr>
          <t>Content Based Image Retrieval (CBIR) for DICOM medical images using DCNN features and DICOM metadata to improve retrieval speed and accuracy across multiple modalities (CT, MRI, Ultrasound).</t>
        </r>
      </text>
    </comment>
    <comment ref="K9" authorId="0" shapeId="0" xr:uid="{61282B72-42FA-4E97-9B70-F221C7CA6007}">
      <text>
        <r>
          <rPr>
            <sz val="9"/>
            <color indexed="81"/>
            <rFont val="Segoe UI"/>
            <family val="2"/>
          </rPr>
          <t>DICOM tags are extracted to create a local metadata database for pre-filtering; DCNN features are used to build a feature vector database; a convolution-layer-based prediction model is constructed to retrieve images based on semantic information and metadata.</t>
        </r>
      </text>
    </comment>
    <comment ref="N9" authorId="0" shapeId="0" xr:uid="{7F9B10B5-35B6-410C-B2FC-F191CFEF5E2B}">
      <text>
        <r>
          <rPr>
            <sz val="9"/>
            <color indexed="81"/>
            <rFont val="Segoe UI"/>
            <family val="2"/>
          </rPr>
          <t>Medical image retrieval (DICOM-based CT, MRI, and Ultrasound images across 22 anatomical classes)</t>
        </r>
      </text>
    </comment>
    <comment ref="O9" authorId="0" shapeId="0" xr:uid="{0B3F9DF6-A1D2-4E1E-8572-C0C36D2EE643}">
      <text>
        <r>
          <rPr>
            <sz val="9"/>
            <color indexed="81"/>
            <rFont val="Segoe UI"/>
            <family val="2"/>
          </rPr>
          <t>The paper implemented a CBIR pipeline for 6600 DICOM images spanning 22 classes and 3 modalities (CT, MRI, Ultrasound) from the TCIA archive. A pre-filter method using DICOM metadata was combined with DCNN-based feature vectors stored in a feature vector database. A convolution-layer prediction model was trained on 70% of the data and evaluated on 30%. The system achieved an average precision of 0.80 and recall of 0.87, which the authors consider suitable for high-quality semantic image retrieval.</t>
        </r>
      </text>
    </comment>
    <comment ref="H10" authorId="0" shapeId="0" xr:uid="{FCF76E82-FF8F-4E1F-8465-8BF8E989B7D0}">
      <text>
        <r>
          <rPr>
            <sz val="9"/>
            <color indexed="81"/>
            <rFont val="Segoe UI"/>
            <family val="2"/>
          </rPr>
          <t>RAGMed: A RAG-Based Medical AI Assistant for Improving Healthcare Delivery</t>
        </r>
      </text>
    </comment>
    <comment ref="I10" authorId="0" shapeId="0" xr:uid="{556C907C-0B71-494A-B228-07573AACEDFD}">
      <text>
        <r>
          <rPr>
            <sz val="9"/>
            <color indexed="81"/>
            <rFont val="Segoe UI"/>
            <family val="2"/>
          </rPr>
          <t>The paper is primarily a medical AI application (RAG-based assistant) where a vector database is used as a retrieval component within the RAG pipeline; it does not propose, analyze, benchmark, or survey vector databases or their core indexing technology as its subject.</t>
        </r>
      </text>
    </comment>
    <comment ref="J10" authorId="0" shapeId="0" xr:uid="{45AB9234-BFFC-4AF3-B0A5-5164BAA57CD7}">
      <text>
        <r>
          <rPr>
            <sz val="9"/>
            <color indexed="81"/>
            <rFont val="Segoe UI"/>
            <family val="2"/>
          </rPr>
          <t>Design and evaluation of RAGMed, a Retrieval-Augmented Generation-based medical AI assistant that automates patient FAQ answering, appointment scheduling, and clinical note summarization, with a comparative study of two embedding models (gte-large vs. all-MiniLM-L6-v2) on retrieval quality within a clinical workflow.</t>
        </r>
      </text>
    </comment>
    <comment ref="K10" authorId="0" shapeId="0" xr:uid="{F4D4F586-960E-44AD-990B-A2F4276872AF}">
      <text>
        <r>
          <rPr>
            <sz val="9"/>
            <color indexed="81"/>
            <rFont val="Segoe UI"/>
            <family val="2"/>
          </rPr>
          <t>A RAG pipeline combining a vector database (containing ~45,000 encoded doctor observations) with the LLM llama3-8b-8192. Two embedding models are compared using cosine similarity for top-5 retrieval, and outputs are evaluated via the RAG-Triad framework (context relevance, answer relevance, groundedness) on 18 real-world medical queries across three tasks: medical QA, appointment scheduling, and clinical note summarization.</t>
        </r>
      </text>
    </comment>
    <comment ref="L10" authorId="0" shapeId="0" xr:uid="{3F43DFFA-074D-44B7-802E-03EDD7F4F3F2}">
      <text>
        <r>
          <rPr>
            <sz val="9"/>
            <color indexed="81"/>
            <rFont val="Segoe UI"/>
            <family val="2"/>
          </rPr>
          <t>gte-large; all-MiniLM-L6-v2; llama3-8b-8192; RAG-Triad; MedDialog; NegEx</t>
        </r>
      </text>
    </comment>
    <comment ref="M10" authorId="0" shapeId="0" xr:uid="{456EC020-A698-4B69-A94D-C77F5475929B}">
      <text>
        <r>
          <rPr>
            <sz val="9"/>
            <color indexed="81"/>
            <rFont val="Segoe UI"/>
            <family val="2"/>
          </rPr>
          <t>cosine similarity</t>
        </r>
      </text>
    </comment>
    <comment ref="N10" authorId="0" shapeId="0" xr:uid="{19DBBCCA-3B41-40B3-988D-1B712B1F107E}">
      <text>
        <r>
          <rPr>
            <sz val="9"/>
            <color indexed="81"/>
            <rFont val="Segoe UI"/>
            <family val="2"/>
          </rPr>
          <t>Medical question answering, appointment scheduling, and clinical note summarization in healthcare workflows</t>
        </r>
      </text>
    </comment>
    <comment ref="O10" authorId="0" shapeId="0" xr:uid="{D639CA9D-815B-480B-9458-9B905CA2295B}">
      <text>
        <r>
          <rPr>
            <sz val="9"/>
            <color indexed="81"/>
            <rFont val="Segoe UI"/>
            <family val="2"/>
          </rPr>
          <t>The paper presents RAGMed, a prototype RAG-based medical assistant, and evaluates two embedding models within its retrieval pipeline. Using the RAG-Triad framework on 18 medical queries, gte-large (higher-dimensional embeddings) retrieved more informative context and produced more accurate, factually grounded responses compared to all-MiniLM-L6-v2. The system demonstrated functional capability across three healthcare tasks: medical QA, appointment scheduling, and clinical note summarization. The authors conclude that embedding dimensionality has measurable consequences for retrieval quality and response grounding in a safety-critical medical domain. The study is positioned as a proof-of-concept with a small evaluation set, not a formal validation.</t>
        </r>
      </text>
    </comment>
    <comment ref="P10" authorId="0" shapeId="0" xr:uid="{0AAD0628-8650-4D29-8BFE-09EB3E7084BD}">
      <text>
        <r>
          <rPr>
            <sz val="9"/>
            <color indexed="81"/>
            <rFont val="Segoe UI"/>
            <family val="2"/>
          </rPr>
          <t>Absence of real clinical conversation data; reliance on public datasets that may not reflect authentic patient-provider communication complexity; Regulatory restrictions (HIPAA, FERPA) and IRB approval barriers limit access to real-world patient-doctor dialogues; Data de-identification challenges for conversational data containing subtle identifiers; The question test set of 18 queries is insufficient for formal validation and serves only as an illustrative demonstration; The prototype cannot handle negative findings (absence of symptoms, normal results, non-diagnostic statements); Public datasets like MedDialog may differ in linguistic style, cultural context, and clinical workflow from typical healthcare encounters</t>
        </r>
      </text>
    </comment>
    <comment ref="Q10" authorId="0" shapeId="0" xr:uid="{BF3E96C9-2327-48E9-B2B3-0B003CE36416}">
      <text>
        <r>
          <rPr>
            <sz val="9"/>
            <color indexed="81"/>
            <rFont val="Segoe UI"/>
            <family val="2"/>
          </rPr>
          <t>Extension to validated, de-identified real-world clinical data through formal collaborations and regulatory approval; Voice-based querying for more natural interactions; Integration with Electronic Health Record (EHR) systems for seamless clinical workflows; Advanced privacy-preserving mechanisms for sensitive health data; Incorporation of clinical NLP negation detection (e.g., NegEx or neural approaches) into the RAG pipeline for handling negative findings; Physician involvement in iterative validation and co-design; Expansion of evaluation to biomedical benchmarks such as BioASQ, PubMedQA, i2b2/n2c2, and MIMIC; Incorporation of statistical rigor through confidence intervals, hypothesis testing, and effect size reporting</t>
        </r>
      </text>
    </comment>
    <comment ref="H11" authorId="0" shapeId="0" xr:uid="{9F6E339C-0C85-438F-A65D-5D01971CB0AA}">
      <text>
        <r>
          <rPr>
            <sz val="9"/>
            <color indexed="81"/>
            <rFont val="Segoe UI"/>
            <family val="2"/>
          </rPr>
          <t>Automating candidate gene prioritization with large language models: from naive scoring to literature-grounded validation</t>
        </r>
      </text>
    </comment>
    <comment ref="I11" authorId="0" shapeId="0" xr:uid="{6A9CBE8C-28D9-41E6-B6B0-9EE9C7D2AF1D}">
      <text>
        <r>
          <rPr>
            <sz val="9"/>
            <color indexed="81"/>
            <rFont val="Segoe UI"/>
            <family val="2"/>
          </rPr>
          <t>The paper is about LLM-based gene prioritization in sepsis research, using RAG as an application-level technique; no vector database, vector indexing method, or nearest-neighbor search technology is named, discussed, or analyzed anywhere in the text.</t>
        </r>
      </text>
    </comment>
    <comment ref="J11" authorId="0" shapeId="0" xr:uid="{6DF9E51A-9A6D-4D45-BF2E-C17121562566}">
      <text>
        <r>
          <rPr>
            <sz val="9"/>
            <color indexed="81"/>
            <rFont val="Segoe UI"/>
            <family val="2"/>
          </rPr>
          <t>Automating candidate gene prioritization in sepsis research using large language models with retrieval-augmented generation (RAG) and literature-grounded validation to reduce hallucination and ensure biological coherence.</t>
        </r>
      </text>
    </comment>
    <comment ref="K11" authorId="0" shapeId="0" xr:uid="{FDEEAC03-1CA8-499D-A14C-7F135C52DB01}">
      <text>
        <r>
          <rPr>
            <sz val="9"/>
            <color indexed="81"/>
            <rFont val="Segoe UI"/>
            <family val="2"/>
          </rPr>
          <t>A three-stage pipeline: (i) naive LLM composite scoring of all genes, (ii) RAG-based filtering with dual-model faithfulness checks against 6,346 curated sepsis publications, and (iii) multi-dimensional optimization and Chain-of-Thought reasoning to refine surviving candidates.</t>
        </r>
      </text>
    </comment>
    <comment ref="N11" authorId="0" shapeId="0" xr:uid="{7296714E-9D7F-4635-B04C-3FFAC15A312A}">
      <text>
        <r>
          <rPr>
            <sz val="9"/>
            <color indexed="81"/>
            <rFont val="Segoe UI"/>
            <family val="2"/>
          </rPr>
          <t>Biomedical gene prioritization for sepsis research, specifically identifying therapeutic targets from transcriptomic data</t>
        </r>
      </text>
    </comment>
    <comment ref="O11" authorId="0" shapeId="0" xr:uid="{F1FB5E6D-DC2C-40AC-9347-695F6A3AD8DB}">
      <text>
        <r>
          <rPr>
            <sz val="9"/>
            <color indexed="81"/>
            <rFont val="Segoe UI"/>
            <family val="2"/>
          </rPr>
          <t>The framework filtered 10,824 genes from the BloodGen3 repertoire down to 30 ultra-high confidence sepsis candidates with &gt;94% filtering efficiency. Benchmark validation against expert-curated databases achieved 71.2% recall with a systematic correlation between computational confidence and evidence quality. The final set comprised 19 known sepsis genes and 11 novel candidates, with strong enrichment for inflammatory pathways (TNF-α signaling, complement activation, interferon responses). The RAG faithfulness pass rate was 30.5%, and systematic blind spots were identified in metabolic pathways. The modular design enables adaptation to other diseases through knowledge base substitution.</t>
        </r>
      </text>
    </comment>
    <comment ref="P11" authorId="0" shapeId="0" xr:uid="{43D760CE-2FD1-416B-8FCE-962E597594F9}">
      <text>
        <r>
          <rPr>
            <sz val="9"/>
            <color indexed="81"/>
            <rFont val="Segoe UI"/>
            <family val="2"/>
          </rPr>
          <t>Systematic blind spots in metabolic pathways (protein synthesis, urea cycle, cellular maintenance) likely reflecting literature emphasis on inflammatory over metabolic mechanisms; 30.5% RAG faithfulness pass rate may introduce bias toward well-studied genes; Selective loss of broader regulatory pathways (TGF-β signaling, EMT) in literature-validated sets suggests underrepresentation of resolution mechanisms; Substantial API costs and processing time may limit accessibility; Dependency on proprietary models creates sustainability concerns for long-term research applications and reproducibility; Potential circularity favoring well-published genes due to correlation between computational scores and PubMed publication frequency</t>
        </r>
      </text>
    </comment>
    <comment ref="Q11" authorId="0" shapeId="0" xr:uid="{EA99EBD6-5A3B-4B6F-92ED-ADD0EC8BC727}">
      <text>
        <r>
          <rPr>
            <sz val="9"/>
            <color indexed="81"/>
            <rFont val="Segoe UI"/>
            <family val="2"/>
          </rPr>
          <t>Incorporate experimental data beyond literature analysis, including functional genomics and clinical outcomes data; Integration of tissue-specific and temporal expression patterns for context-relevant prioritization; Expanding beyond inflammatory mechanisms to include metabolic and repair pathways for more comprehensive target coverage; Continued validation against experimental outcomes and clinical data to establish real-world utility</t>
        </r>
      </text>
    </comment>
    <comment ref="H12" authorId="0" shapeId="0" xr:uid="{BE5B6562-9849-4049-A981-671D59B0C86A}">
      <text>
        <r>
          <rPr>
            <sz val="9"/>
            <color indexed="81"/>
            <rFont val="Segoe UI"/>
            <family val="2"/>
          </rPr>
          <t>Context-Aware Retrieval-Augmented Generation for Artificial Intelligence in Urology</t>
        </r>
      </text>
    </comment>
    <comment ref="I12" authorId="0" shapeId="0" xr:uid="{E8826518-082F-4864-B0E8-8AEB5DF0E11E}">
      <text>
        <r>
          <rPr>
            <sz val="9"/>
            <color indexed="81"/>
            <rFont val="Segoe UI"/>
            <family val="2"/>
          </rPr>
          <t>The paper is primarily about a RAG pipeline for urology; the Pinecone vector database is used only as a storage and retrieval component within the system and is neither analyzed, compared, nor improved upon as a subject of study.</t>
        </r>
      </text>
    </comment>
    <comment ref="J12" authorId="0" shapeId="0" xr:uid="{98D7C258-DADA-4329-9BDE-277251B93360}">
      <text>
        <r>
          <rPr>
            <sz val="9"/>
            <color indexed="81"/>
            <rFont val="Segoe UI"/>
            <family val="2"/>
          </rPr>
          <t>Designing and evaluating a context-aware retrieval-augmented generation (RAG) system tailored for the urology domain to reduce hallucinations and improve contextual relevance in AI-generated medical responses.</t>
        </r>
      </text>
    </comment>
    <comment ref="K12" authorId="0" shapeId="0" xr:uid="{C27EE0FD-2628-4319-99D6-3F873F74F392}">
      <text>
        <r>
          <rPr>
            <sz val="9"/>
            <color indexed="81"/>
            <rFont val="Segoe UI"/>
            <family val="2"/>
          </rPr>
          <t>A RAG framework integrating PubMedBERT embeddings for encoding urological literature stored in a Pinecone vector database, named entity recognition for domain-specific query filtering, dynamic memory modules for conversational continuity, and LLaMA3-8B via LangChain for response generation, evaluated against baseline LLaMA models using Deepseek-R1-based scoring on 150 urology-specific queries.</t>
        </r>
      </text>
    </comment>
    <comment ref="L12" authorId="0" shapeId="0" xr:uid="{6A5E859B-0E61-4F7E-982E-DE59E9578C9D}">
      <text>
        <r>
          <rPr>
            <sz val="9"/>
            <color indexed="81"/>
            <rFont val="Segoe UI"/>
            <family val="2"/>
          </rPr>
          <t>Pinecone; LLaMA3-8B; LangChain; Deepseek-R1; PubMedBERT</t>
        </r>
      </text>
    </comment>
    <comment ref="N12" authorId="0" shapeId="0" xr:uid="{5CC34C0B-E61E-4597-8F7B-41682EC1B015}">
      <text>
        <r>
          <rPr>
            <sz val="9"/>
            <color indexed="81"/>
            <rFont val="Segoe UI"/>
            <family val="2"/>
          </rPr>
          <t>Urology / medical literature retrieval and clinical decision support</t>
        </r>
      </text>
    </comment>
    <comment ref="O12" authorId="0" shapeId="0" xr:uid="{28724E52-5825-438F-BFAE-203EB857A492}">
      <text>
        <r>
          <rPr>
            <sz val="9"/>
            <color indexed="81"/>
            <rFont val="Segoe UI"/>
            <family val="2"/>
          </rPr>
          <t>The paper developed a context-aware RAG system for urology and evaluated it against four baseline LLaMA models without RAG integration across 150 domain-specific queries. The RAG-enhanced model consistently produced more accurate, concise, and context-aware responses with markedly fewer hallucinations. A subset of 50 responses was reviewed by board-certified urologists for clinical accuracy and guideline adherence. The system achieved an 89% performance improvement over baselines in generating medically appropriate answers. Integration of memory modules and named entity filtering further improved precision and reliability.</t>
        </r>
      </text>
    </comment>
    <comment ref="P12" authorId="0" shapeId="0" xr:uid="{1EE3E78E-0A3C-4702-BE13-11971D56F946}">
      <text>
        <r>
          <rPr>
            <sz val="9"/>
            <color indexed="81"/>
            <rFont val="Segoe UI"/>
            <family val="2"/>
          </rPr>
          <t>Querying large external databases can introduce delays in response time; Accuracy of responses relies on the quality and relevance of retrieved documents; Building and maintaining the retriever and database infrastructure requires careful design and optimization; Need for dynamic periodical collection-storage algorithms to maintain data recency</t>
        </r>
      </text>
    </comment>
    <comment ref="Q12" authorId="0" shapeId="0" xr:uid="{AFFC2981-226B-42EC-8C12-F99492D80DFA}">
      <text>
        <r>
          <rPr>
            <sz val="9"/>
            <color indexed="81"/>
            <rFont val="Segoe UI"/>
            <family val="2"/>
          </rPr>
          <t>Reducing inference latency of the RAG system; Improving automated validation without manual oversight; Developing dynamic periodical collection-storage algorithms to improve data recency in RAG systems</t>
        </r>
      </text>
    </comment>
    <comment ref="H13" authorId="0" shapeId="0" xr:uid="{278A480E-41A2-4B04-BDDE-932A829087DB}">
      <text>
        <r>
          <rPr>
            <sz val="9"/>
            <color indexed="81"/>
            <rFont val="Segoe UI"/>
            <family val="2"/>
          </rPr>
          <t>DrugRepoChatter: A Drug Repurposing Expert Chatbot Curated by the REPO4EU Consortium</t>
        </r>
      </text>
    </comment>
    <comment ref="I13" authorId="0" shapeId="0" xr:uid="{FE9F7C23-E4D4-4BDA-8F57-02DA65841ED1}">
      <text>
        <r>
          <rPr>
            <sz val="9"/>
            <color indexed="81"/>
            <rFont val="Segoe UI"/>
            <family val="2"/>
          </rPr>
          <t>The paper is primarily about a drug repurposing chatbot application; vector databases are used only as an underlying storage and retrieval component without any analysis, comparison, or discussion of vector database technology, indexing methods, or system design.</t>
        </r>
      </text>
    </comment>
    <comment ref="J13" authorId="0" shapeId="0" xr:uid="{D8402598-3343-4927-9E69-8E12A8A7DC9A}">
      <text>
        <r>
          <rPr>
            <sz val="9"/>
            <color indexed="81"/>
            <rFont val="Segoe UI"/>
            <family val="2"/>
          </rPr>
          <t>Development of DrugRepoChatter, an LLM-powered chatbot using RAG and a vector database of 285 expert-curated open-access articles to help researchers efficiently access and navigate the drug repurposing literature.</t>
        </r>
      </text>
    </comment>
    <comment ref="K13" authorId="0" shapeId="0" xr:uid="{C98D320B-D43E-46DD-9278-3D4E130995EC}">
      <text>
        <r>
          <rPr>
            <sz val="9"/>
            <color indexed="81"/>
            <rFont val="Segoe UI"/>
            <family val="2"/>
          </rPr>
          <t>The system embeds text chunks from curated articles into a vector space using an LLM model, stores them in a vector database, and performs semantic similarity search to retrieve relevant passages for RAG-based answer generation. The curation process involved expert selection of high-quality open-access publications from the REPO4EU consortium.</t>
        </r>
      </text>
    </comment>
    <comment ref="L13" authorId="0" shapeId="0" xr:uid="{256D818F-64B3-4E01-B6F5-1DF1D4F03ED3}">
      <text>
        <r>
          <rPr>
            <sz val="9"/>
            <color indexed="81"/>
            <rFont val="Segoe UI"/>
            <family val="2"/>
          </rPr>
          <t>PubMed</t>
        </r>
      </text>
    </comment>
    <comment ref="N13" authorId="0" shapeId="0" xr:uid="{892C9EE3-DBB3-423F-9653-66F1F00EB510}">
      <text>
        <r>
          <rPr>
            <sz val="9"/>
            <color indexed="81"/>
            <rFont val="Segoe UI"/>
            <family val="2"/>
          </rPr>
          <t>Drug repurposing literature retrieval and biomedical research support</t>
        </r>
      </text>
    </comment>
    <comment ref="O13" authorId="0" shapeId="0" xr:uid="{357C27C0-652D-4119-8F8C-D03870AB7F20}">
      <text>
        <r>
          <rPr>
            <sz val="9"/>
            <color indexed="81"/>
            <rFont val="Segoe UI"/>
            <family val="2"/>
          </rPr>
          <t>The paper describes the design, architecture, and implementation of DrugRepoChatter, a RAG-based chatbot that uses a vector database of 285 expert-curated open-access articles on drug repurposing. The system embeds text splits into a vector space, performs similarity search to retrieve relevant passages, and uses an LLM to generate grounded answers. Initial user feedback indicated strong appreciation for the intuitive design and credibility of responses with direct source citation. The paper reports no quantitative benchmarks or comparisons against alternative systems. The tool is made available as a web application to the research community.</t>
        </r>
      </text>
    </comment>
    <comment ref="P13" authorId="0" shapeId="0" xr:uid="{5899DA4F-FA18-4739-BE7F-F111FC89A0D1}">
      <text>
        <r>
          <rPr>
            <sz val="9"/>
            <color indexed="81"/>
            <rFont val="Segoe UI"/>
            <family val="2"/>
          </rPr>
          <t>The database is static and requires manual updating; the authors acknowledge the need for a systematic and efficient update process.; Embedding and chatting with full-text articles could cause computational demands and potential user experience issues, so the authors plan to limit updates to titles and abstracts only.; The chatbot's natural language processing capabilities need further enhancement to improve relevance and accuracy of responses.</t>
        </r>
      </text>
    </comment>
    <comment ref="Q13" authorId="0" shapeId="0" xr:uid="{EAF57E0E-DEBB-4FE9-82F5-DB412A805112}">
      <text>
        <r>
          <rPr>
            <sz val="9"/>
            <color indexed="81"/>
            <rFont val="Segoe UI"/>
            <family val="2"/>
          </rPr>
          <t>Creating a periodic querying system to consistently pull new publications from PubMed and incorporate them into the knowledge base.; Enhancing the chatbot's natural language processing capabilities to improve response relevance and accuracy.; Replacing the currently running LLM with newer, more advanced open-source models as they become available.; Developing a streamlined article update process that avoids re-embedding into the database to maintain response times.</t>
        </r>
      </text>
    </comment>
    <comment ref="H14" authorId="0" shapeId="0" xr:uid="{8B632352-F39F-4FE4-84C8-3CF259761B7E}">
      <text>
        <r>
          <rPr>
            <sz val="9"/>
            <color indexed="81"/>
            <rFont val="Segoe UI"/>
            <family val="2"/>
          </rPr>
          <t>MEDILINK</t>
        </r>
      </text>
    </comment>
    <comment ref="I14" authorId="0" shapeId="0" xr:uid="{7D0ABF5E-978C-4215-8DF7-3F179429FDB7}">
      <text>
        <r>
          <rPr>
            <sz val="9"/>
            <color indexed="81"/>
            <rFont val="Segoe UI"/>
            <family val="2"/>
          </rPr>
          <t>The paper is entirely about a healthcare platform; 'Vectordb' appears only once as a single word in a technology stack list with no discussion of vector database technology, indexing, or similarity search.</t>
        </r>
      </text>
    </comment>
    <comment ref="J14" authorId="0" shapeId="0" xr:uid="{A4E92DEC-CE6B-4BE0-AA5B-AD93D4E46D8A}">
      <text>
        <r>
          <rPr>
            <sz val="9"/>
            <color indexed="81"/>
            <rFont val="Segoe UI"/>
            <family val="2"/>
          </rPr>
          <t>Description of Medilink, a digital healthcare platform that integrates prescription storage, a global prescription database, medication adherence reminders, an AI-based diagnostic tool (MED-GPT), and data quality tools for analysts into a single interface.</t>
        </r>
      </text>
    </comment>
    <comment ref="K14" authorId="0" shapeId="0" xr:uid="{6924F7E3-0EA2-4951-AC31-EEECEB25775B}">
      <text>
        <r>
          <rPr>
            <sz val="9"/>
            <color indexed="81"/>
            <rFont val="Segoe UI"/>
            <family val="2"/>
          </rPr>
          <t>The paper presents the design and feature set of the Medilink platform, describing its components (digital prescription storage, global prescription database, reminder system, MED-GPT diagnostic tool, analyst tools) and its technology stack.</t>
        </r>
      </text>
    </comment>
    <comment ref="L14" authorId="0" shapeId="0" xr:uid="{9BDDC1F0-1377-4EE3-B038-A5C17164000D}">
      <text>
        <r>
          <rPr>
            <sz val="9"/>
            <color indexed="81"/>
            <rFont val="Segoe UI"/>
            <family val="2"/>
          </rPr>
          <t>Vectordb</t>
        </r>
      </text>
    </comment>
    <comment ref="N14" authorId="0" shapeId="0" xr:uid="{59B8D47E-6173-4FEC-8BC6-3A2C9D1B10CE}">
      <text>
        <r>
          <rPr>
            <sz val="9"/>
            <color indexed="81"/>
            <rFont val="Segoe UI"/>
            <family val="2"/>
          </rPr>
          <t>Healthcare (prescription management, diagnostic support, medication adherence)</t>
        </r>
      </text>
    </comment>
    <comment ref="O14" authorId="0" shapeId="0" xr:uid="{6D53035E-C156-4715-BA36-9896A5E35E72}">
      <text>
        <r>
          <rPr>
            <sz val="9"/>
            <color indexed="81"/>
            <rFont val="Segoe UI"/>
            <family val="2"/>
          </rPr>
          <t>The paper describes Medilink as an integrated digital healthcare platform combining electronic prescription storage, a global anonymized prescription database, medication reminder systems, an AI-powered diagnostic assistant (MED-GPT), and data-quality tools for analysts. It positions the platform as a solution to problems such as lost paper prescriptions, poor medication adherence, and limited access to professional healthcare in emergencies. The technology stack is listed as including Golang, AngularJS, PostgreSQL, Python FastAPI, Hugging Face Transformers, Vectordb, Langchain, sentence-transformers, and other tools. No quantitative results, benchmarks, or comparative evaluations are reported. The paper is purely descriptive of the platform's intended features and architecture.</t>
        </r>
      </text>
    </comment>
    <comment ref="H15" authorId="0" shapeId="0" xr:uid="{1B4496ED-3F45-491D-9A2E-650D5EA7F232}">
      <text>
        <r>
          <rPr>
            <sz val="9"/>
            <color indexed="81"/>
            <rFont val="Segoe UI"/>
            <family val="2"/>
          </rPr>
          <t>Leveraging Vector Databases for AI-Driven Semantic Search in Healthcare</t>
        </r>
      </text>
    </comment>
    <comment ref="I15" authorId="0" shapeId="0" xr:uid="{07285DAA-CE5B-472A-938C-47A25C167097}">
      <text>
        <r>
          <rPr>
            <sz val="9"/>
            <color indexed="81"/>
            <rFont val="Segoe UI"/>
            <family val="2"/>
          </rPr>
          <t>The paper is primarily a healthcare application case study; the vector database (Pinecone) is used as an enabling tool within the architecture but is not examined, compared, benchmarked, or analyzed in depth regarding its core technology.</t>
        </r>
      </text>
    </comment>
    <comment ref="J15" authorId="0" shapeId="0" xr:uid="{73688C4E-35FC-4006-A052-951E6ADA2014}">
      <text>
        <r>
          <rPr>
            <sz val="9"/>
            <color indexed="81"/>
            <rFont val="Segoe UI"/>
            <family val="2"/>
          </rPr>
          <t>A case implementation at a regional hospital group integrating a ChatGPT-based medical assistant with Pinecone's vector database and FHIR-based EHR systems to enable AI-driven semantic search for patient queries in healthcare.</t>
        </r>
      </text>
    </comment>
    <comment ref="K15" authorId="0" shapeId="0" xr:uid="{38C5D491-8779-4296-B236-4CD960B8FE6D}">
      <text>
        <r>
          <rPr>
            <sz val="9"/>
            <color indexed="81"/>
            <rFont val="Segoe UI"/>
            <family val="2"/>
          </rPr>
          <t>Healthcare documentation (over 100,000 medical documents) was converted into high-dimensional vector embeddings using OpenAI's embedding model, stored in Pinecone, and queried via a ChatGPT-based assistant integrated with FHIR-based EHR systems, with HIPAA compliance ensured through anonymized tokenization.</t>
        </r>
      </text>
    </comment>
    <comment ref="L15" authorId="0" shapeId="0" xr:uid="{4C655050-EA32-412E-9F51-E748B8933EAD}">
      <text>
        <r>
          <rPr>
            <sz val="9"/>
            <color indexed="81"/>
            <rFont val="Segoe UI"/>
            <family val="2"/>
          </rPr>
          <t>Pinecone; ChatGPT; OpenAI embedding model</t>
        </r>
      </text>
    </comment>
    <comment ref="N15" authorId="0" shapeId="0" xr:uid="{F6D331A5-851D-413A-8308-B42A06411397}">
      <text>
        <r>
          <rPr>
            <sz val="9"/>
            <color indexed="81"/>
            <rFont val="Segoe UI"/>
            <family val="2"/>
          </rPr>
          <t>Healthcare information retrieval, patient-facing semantic search, clinical documentation access</t>
        </r>
      </text>
    </comment>
    <comment ref="O15" authorId="0" shapeId="0" xr:uid="{C3444E71-D13E-4DF6-8F95-DC55E60F4636}">
      <text>
        <r>
          <rPr>
            <sz val="9"/>
            <color indexed="81"/>
            <rFont val="Segoe UI"/>
            <family val="2"/>
          </rPr>
          <t>The hospital group implemented a ChatGPT-based medical assistant powered by Pinecone's vector database, converting over 100,000 medical documents into vector embeddings for semantic search. The system processed thousands of patient queries over a six-month period and achieved high satisfaction ratings. It enabled semantic understanding of patient queries (e.g., connecting 'I wheeze after climbing stairs' to exercise-induced bronchospasm) beyond traditional keyword matching. The implementation reduced demand on the hospital's nurse call center, allowing clinical staff to redirect attention to direct patient care. The system maintained HIPAA compliance through anonymized tokenization while delivering personalized responses.</t>
        </r>
      </text>
    </comment>
    <comment ref="H16" authorId="0" shapeId="0" xr:uid="{97E1D593-0D20-4B45-BF01-FB76319DDFEC}">
      <text>
        <r>
          <rPr>
            <sz val="9"/>
            <color indexed="81"/>
            <rFont val="Segoe UI"/>
            <family val="2"/>
          </rPr>
          <t>7064 The Newest LLMs: Can They Help Patients With Diabetic Macular Edema?</t>
        </r>
      </text>
    </comment>
    <comment ref="I16" authorId="0" shapeId="0" xr:uid="{881DE4A4-2529-4256-B9DF-3229F9A261B9}">
      <text>
        <r>
          <rPr>
            <sz val="9"/>
            <color indexed="81"/>
            <rFont val="Segoe UI"/>
            <family val="2"/>
          </rPr>
          <t>Vector databases are mentioned only in a single passing sentence as a component of RAG architecture; the paper's actual subject is LLM evaluation for medical information accuracy, with no discussion, comparison, or analysis of vector database technology.</t>
        </r>
      </text>
    </comment>
    <comment ref="J16" authorId="0" shapeId="0" xr:uid="{79DBF4B5-3A78-40BC-AAA8-9F8ECA73D927}">
      <text>
        <r>
          <rPr>
            <sz val="9"/>
            <color indexed="81"/>
            <rFont val="Segoe UI"/>
            <family val="2"/>
          </rPr>
          <t>Evaluating four LLMs (Cohere Coral, Claude, ChatGPT, Bard) for their accuracy, readability, helpfulness, and specificity in providing treatment information for diabetic macular edema.</t>
        </r>
      </text>
    </comment>
    <comment ref="K16" authorId="0" shapeId="0" xr:uid="{86A61EF4-717A-49A2-86F5-CA2033EB0996}">
      <text>
        <r>
          <rPr>
            <sz val="9"/>
            <color indexed="81"/>
            <rFont val="Segoe UI"/>
            <family val="2"/>
          </rPr>
          <t>Two patient-style questions about diabetic macular edema treatment costs were posed to four LLMs, and responses were scored using a custom weighted scoring system (Readability 20%, Accuracy 40%, Helpfulness 30%, Specificity 10%).</t>
        </r>
      </text>
    </comment>
    <comment ref="N16" authorId="0" shapeId="0" xr:uid="{B9A800E2-BB97-4948-AF8A-90A381EE5C2F}">
      <text>
        <r>
          <rPr>
            <sz val="9"/>
            <color indexed="81"/>
            <rFont val="Segoe UI"/>
            <family val="2"/>
          </rPr>
          <t>Ophthalmology / diabetic macular edema patient education</t>
        </r>
      </text>
    </comment>
    <comment ref="O16" authorId="0" shapeId="0" xr:uid="{523B7379-EC2C-442D-8BA8-228C3F47D06B}">
      <text>
        <r>
          <rPr>
            <sz val="9"/>
            <color indexed="81"/>
            <rFont val="Segoe UI"/>
            <family val="2"/>
          </rPr>
          <t>The paper queried four LLMs with two patient-style questions about diabetic macular edema treatment and scored responses on readability, accuracy, helpfulness, and specificity. Cohere Coral achieved the highest average score of 85.5/100, followed by Claude (81), Bard (80), and ChatGPT (76.5). The authors conclude that RAG-based LLMs can provide accurate and instantaneous health education for this condition. The study is limited to two questions and a small, custom scoring rubric.</t>
        </r>
      </text>
    </comment>
    <comment ref="P16" authorId="0" shapeId="0" xr:uid="{D8355B4C-52F7-4778-A95A-54894323F1D2}">
      <text>
        <r>
          <rPr>
            <sz val="9"/>
            <color indexed="81"/>
            <rFont val="Segoe UI"/>
            <family val="2"/>
          </rPr>
          <t>Only two questions were used to evaluate the LLMs; The scoring system is custom and subjective, with weighted metrics chosen by the authors</t>
        </r>
      </text>
    </comment>
    <comment ref="Q16" authorId="0" shapeId="0" xr:uid="{7E8A4AC7-DDD7-4B07-BC11-72674A2F8B3B}">
      <text>
        <r>
          <rPr>
            <sz val="9"/>
            <color indexed="81"/>
            <rFont val="Segoe UI"/>
            <family val="2"/>
          </rPr>
          <t>Physicians should follow the new, evolving LLMs as it may affect patient education</t>
        </r>
      </text>
    </comment>
    <comment ref="H17" authorId="0" shapeId="0" xr:uid="{BC753641-D554-49A8-8B19-A735E501660F}">
      <text>
        <r>
          <rPr>
            <sz val="9"/>
            <color indexed="81"/>
            <rFont val="Segoe UI"/>
            <family val="2"/>
          </rPr>
          <t>#1506 Uremic toxicity: gaining novel insights through AI-driven literature review</t>
        </r>
      </text>
    </comment>
    <comment ref="I17" authorId="0" shapeId="0" xr:uid="{70906199-2A0E-4131-AA83-DF0CCC06B4B3}">
      <text>
        <r>
          <rPr>
            <sz val="9"/>
            <color indexed="81"/>
            <rFont val="Segoe UI"/>
            <family val="2"/>
          </rPr>
          <t>The vector database is only a minor component of the RAG pipeline used as a tool for a medical literature review; the paper does not propose, analyze, benchmark, or discuss vector database technology or indexing methods in any depth.</t>
        </r>
      </text>
    </comment>
    <comment ref="J17" authorId="0" shapeId="0" xr:uid="{9F6BC80D-83F2-49ED-92BF-9F10F144D744}">
      <text>
        <r>
          <rPr>
            <sz val="9"/>
            <color indexed="81"/>
            <rFont val="Segoe UI"/>
            <family val="2"/>
          </rPr>
          <t>Using a Retrieval-Augmented Generation (RAG) system to efficiently process and extract meaningful information from published literature on uremic toxins.</t>
        </r>
      </text>
    </comment>
    <comment ref="K17" authorId="0" shapeId="0" xr:uid="{7B0FA137-917B-497C-9A9E-A38418B94F54}">
      <text>
        <r>
          <rPr>
            <sz val="9"/>
            <color indexed="81"/>
            <rFont val="Segoe UI"/>
            <family val="2"/>
          </rPr>
          <t>A RAG pipeline was set up: (1) a retrieval step where questions and documents are encoded into vectors and similarity measures find best matches, and (2) an augmented generation step where an LLM (ChatGPT) uses the retrieved documents to generate responses. Abstracts were collected from PubMed via Metapub.</t>
        </r>
      </text>
    </comment>
    <comment ref="L17" authorId="0" shapeId="0" xr:uid="{E29E9A68-0A19-4B43-BEDF-51D3A979C43A}">
      <text>
        <r>
          <rPr>
            <sz val="9"/>
            <color indexed="81"/>
            <rFont val="Segoe UI"/>
            <family val="2"/>
          </rPr>
          <t>ChatGPT; Metapub</t>
        </r>
      </text>
    </comment>
    <comment ref="N17" authorId="0" shapeId="0" xr:uid="{764B3675-406A-441E-9169-0B008FF782A4}">
      <text>
        <r>
          <rPr>
            <sz val="9"/>
            <color indexed="81"/>
            <rFont val="Segoe UI"/>
            <family val="2"/>
          </rPr>
          <t>Medical literature review on uremic toxins</t>
        </r>
      </text>
    </comment>
    <comment ref="O17" authorId="0" shapeId="0" xr:uid="{77C140A0-AEF8-45AB-805B-5D801EBDB182}">
      <text>
        <r>
          <rPr>
            <sz val="9"/>
            <color indexed="81"/>
            <rFont val="Segoe UI"/>
            <family val="2"/>
          </rPr>
          <t>The authors collected 3497 PubMed abstracts and 191 expert-curated publications (broken into 5756 documents), building a vector database of 9253 vectors. Using RAG, they queried an LLM on multiple questions about uremic toxins. The first and second LLM responses were reasonable, but the third demonstrated hallucination—plausible yet factually incorrect information. The authors conclude that RAG improves LLM answer quality by leveraging curated documents, but hallucination persists and LLM output still requires human verification.</t>
        </r>
      </text>
    </comment>
    <comment ref="P17" authorId="0" shapeId="0" xr:uid="{89ECE888-B01F-4641-952C-E053D7338DFE}">
      <text>
        <r>
          <rPr>
            <sz val="9"/>
            <color indexed="81"/>
            <rFont val="Segoe UI"/>
            <family val="2"/>
          </rPr>
          <t>Hallucination persists even when RAG is used to augment the LLM; LLM output, even improved with RAG, requires scrutiny and human verification</t>
        </r>
      </text>
    </comment>
    <comment ref="H18" authorId="0" shapeId="0" xr:uid="{911B5938-5832-4CE5-9CD2-C649653CA61C}">
      <text>
        <r>
          <rPr>
            <sz val="9"/>
            <color indexed="81"/>
            <rFont val="Segoe UI"/>
            <family val="2"/>
          </rPr>
          <t>AI-Driven Chatbot for Mental Health Analysis Using Transformer Models</t>
        </r>
      </text>
    </comment>
    <comment ref="I18" authorId="0" shapeId="0" xr:uid="{8980E404-832F-474A-ABF2-D8385B505A37}">
      <text>
        <r>
          <rPr>
            <sz val="9"/>
            <color indexed="81"/>
            <rFont val="Segoe UI"/>
            <family val="2"/>
          </rPr>
          <t>FAISS is mentioned only as a storage component chosen over MongoDB, with no analysis, comparison, or discussion of vector indexing methods or similarity search performance. The paper's main subject is a mental health chatbot application, not vector databases.</t>
        </r>
      </text>
    </comment>
    <comment ref="J18" authorId="0" shapeId="0" xr:uid="{032DCDE6-5ADB-4CEA-AFEF-75372025C961}">
      <text>
        <r>
          <rPr>
            <sz val="9"/>
            <color indexed="81"/>
            <rFont val="Segoe UI"/>
            <family val="2"/>
          </rPr>
          <t>Development of a mental wellness chatbot ('Mental Wellness Companion') using transformer models and FAISS to support individuals with depression symptoms, including sentiment analysis, conversation memory, and personalized interventions.</t>
        </r>
      </text>
    </comment>
    <comment ref="K18" authorId="0" shapeId="0" xr:uid="{832E4FE1-60B9-4401-B949-3E7D0500EC63}">
      <text>
        <r>
          <rPr>
            <sz val="9"/>
            <color indexed="81"/>
            <rFont val="Segoe UI"/>
            <family val="2"/>
          </rPr>
          <t>The system uses a pretrained Hugging Face transformer model accessed via API, FAISS as the vector database for knowledge storage, LangChain for language model orchestration, sentiment analysis via deep learning, and voice input/output for natural conversation.</t>
        </r>
      </text>
    </comment>
    <comment ref="L18" authorId="0" shapeId="0" xr:uid="{4EC1DF80-B621-49C8-B37F-38CE7E9E1ADE}">
      <text>
        <r>
          <rPr>
            <sz val="9"/>
            <color indexed="81"/>
            <rFont val="Segoe UI"/>
            <family val="2"/>
          </rPr>
          <t>FAISS; Hugging Face; LangChain; MongoDB; OpenAI</t>
        </r>
      </text>
    </comment>
    <comment ref="N18" authorId="0" shapeId="0" xr:uid="{18222B35-8E57-4B18-AC8C-800C4A9BECE4}">
      <text>
        <r>
          <rPr>
            <sz val="9"/>
            <color indexed="81"/>
            <rFont val="Segoe UI"/>
            <family val="2"/>
          </rPr>
          <t>Mental health support and depression symptom management</t>
        </r>
      </text>
    </comment>
    <comment ref="O18" authorId="0" shapeId="0" xr:uid="{63022BE4-5782-4A7D-A2E2-B24138D6CFEE}">
      <text>
        <r>
          <rPr>
            <sz val="9"/>
            <color indexed="81"/>
            <rFont val="Segoe UI"/>
            <family val="2"/>
          </rPr>
          <t>The paper proposes a four-component chatbot system (knowledge base creation, LangChain model, conversation memory, and sentiment analysis) designed to assist healthcare professionals in mental health assessment and treatment. The system is described as a cloud-hosted application with voice capabilities, using FAISS for vector storage of mental health knowledge. No quantitative experimental results or benchmarks are reported; the paper remains at the level of system design and architectural description. The authors acknowledge the chatbot is not a substitute for professional therapy and that its effectiveness may vary by individual factors. The work is primarily a conceptual proposal rather than an evaluated implementation.</t>
        </r>
      </text>
    </comment>
    <comment ref="P18" authorId="0" shapeId="0" xr:uid="{AFF66E4B-A19E-40DF-808B-6D620EC85BD8}">
      <text>
        <r>
          <rPr>
            <sz val="9"/>
            <color indexed="81"/>
            <rFont val="Segoe UI"/>
            <family val="2"/>
          </rPr>
          <t>The chatbot is not a substitute for professional medical advice or therapy; Effectiveness may vary depending on individual preferences, cultural factors, and severity of depression symptoms; Local execution of the LLM requires significant GPU power, necessitating API-based access; The system has not been validated through rigorous clinical trials or real-world deployments</t>
        </r>
      </text>
    </comment>
    <comment ref="Q18" authorId="0" shapeId="0" xr:uid="{BBED2569-556D-4BDF-BD4F-FA59C21ED346}">
      <text>
        <r>
          <rPr>
            <sz val="9"/>
            <color indexed="81"/>
            <rFont val="Segoe UI"/>
            <family val="2"/>
          </rPr>
          <t>Need for rigorous clinical trials and real-world deployments to validate efficacy; Refinement of the chatbot's algorithms; Expansion of the repertoire of therapeutic techniques; Ensuring accessibility and inclusivity for diverse user populations; Hosting the chatbot in the cloud to decrease response time; Using OpenAI model to improve accuracy</t>
        </r>
      </text>
    </comment>
    <comment ref="H19" authorId="0" shapeId="0" xr:uid="{90F3774A-4561-4E4C-8414-FF81E0322393}">
      <text>
        <r>
          <rPr>
            <sz val="9"/>
            <color indexed="81"/>
            <rFont val="Segoe UI"/>
            <family val="2"/>
          </rPr>
          <t>#1880 Novel ai-based recipe recommendation system for dialysis patients using retrieval-augmented generation</t>
        </r>
      </text>
    </comment>
    <comment ref="I19" authorId="0" shapeId="0" xr:uid="{438181E1-AB77-481E-B7F4-DCD869873FD6}">
      <text>
        <r>
          <rPr>
            <sz val="9"/>
            <color indexed="81"/>
            <rFont val="Segoe UI"/>
            <family val="2"/>
          </rPr>
          <t>The paper is primarily about a medical nutrition application (recipe recommendation for dialysis patients) using a RAG pipeline. The vector database (FAISS) is used only as a retrieval tool within the pipeline and is not examined, compared, or analyzed in any depth.</t>
        </r>
      </text>
    </comment>
    <comment ref="J19" authorId="0" shapeId="0" xr:uid="{6AE1C3BC-83D1-44CF-A9A8-9F4EAD63DBB6}">
      <text>
        <r>
          <rPr>
            <sz val="9"/>
            <color indexed="81"/>
            <rFont val="Segoe UI"/>
            <family val="2"/>
          </rPr>
          <t>Developing a RAG-based recipe recommendation system for dialysis patients that retrieves kidney-friendly recipes and generates personalized dietary recommendations using OpenAI's GPT-4o model.</t>
        </r>
      </text>
    </comment>
    <comment ref="K19" authorId="0" shapeId="0" xr:uid="{9413BF43-DBE3-44EC-8E76-B21CCDEBC4CE}">
      <text>
        <r>
          <rPr>
            <sz val="9"/>
            <color indexed="81"/>
            <rFont val="Segoe UI"/>
            <family val="2"/>
          </rPr>
          <t>322 kidney-friendly recipes were structured, embedded using a pre-trained OpenAI model, and stored in a vector database. FAISS retrieves the 10 most relevant recipes by Euclidean distance to the query vector. Retrieved recipes are incorporated into a prompt for GPT-4o to generate tailored recommendations.</t>
        </r>
      </text>
    </comment>
    <comment ref="L19" authorId="0" shapeId="0" xr:uid="{32C28E42-21FB-439C-B2EE-71F6B930B7E3}">
      <text>
        <r>
          <rPr>
            <sz val="9"/>
            <color indexed="81"/>
            <rFont val="Segoe UI"/>
            <family val="2"/>
          </rPr>
          <t>FAISS; GPT-4o; OpenAI</t>
        </r>
      </text>
    </comment>
    <comment ref="N19" authorId="0" shapeId="0" xr:uid="{54EFAEFF-83CD-4966-BCBB-02C6B51B02AA}">
      <text>
        <r>
          <rPr>
            <sz val="9"/>
            <color indexed="81"/>
            <rFont val="Segoe UI"/>
            <family val="2"/>
          </rPr>
          <t>Medical nutrition and dietary planning for dialysis patients</t>
        </r>
      </text>
    </comment>
    <comment ref="O19" authorId="0" shapeId="0" xr:uid="{8DF61F98-9343-47FD-8E03-5A3ABF6FECFA}">
      <text>
        <r>
          <rPr>
            <sz val="9"/>
            <color indexed="81"/>
            <rFont val="Segoe UI"/>
            <family val="2"/>
          </rPr>
          <t>The system was tested with complex queries involving multiple nutritional constraints and allergy exclusions. All 10 retrieved documents aligned with the chicken-based requirement, and GPT-4o generated responses with nutrient details and ingredient adjustments. However, during retrieval, recipes containing paprika (a specified allergy) were still retrieved with similarity scores of 0.7317 and 0.7166, revealing a limitation in handling negative constraints. GPT-4o then re-evaluated the retrieved set and successfully excluded paprika-containing recipes in the final output. The authors conclude that the RAG + GPT-4o combination provides a flexible and adaptive solution for personalized recipe design.</t>
        </r>
      </text>
    </comment>
    <comment ref="P19" authorId="0" shapeId="0" xr:uid="{13EE1055-2F4A-4E18-87B5-1762F178CC47}">
      <text>
        <r>
          <rPr>
            <sz val="9"/>
            <color indexed="81"/>
            <rFont val="Segoe UI"/>
            <family val="2"/>
          </rPr>
          <t>Challenges in accurately interpreting and applying negative constraints (e.g., allergy exclusions) during the retrieval phase, as paprika-containing recipes were still retrieved despite the specified exclusion</t>
        </r>
      </text>
    </comment>
    <comment ref="H20" authorId="0" shapeId="0" xr:uid="{48F0A23B-633D-4B5C-A3C5-1B76919E9191}">
      <text>
        <r>
          <rPr>
            <sz val="9"/>
            <color indexed="81"/>
            <rFont val="Segoe UI"/>
            <family val="2"/>
          </rPr>
          <t>Right Diagnoses with the Wrong Justification: Limitations of Current Large-Language Models for Screening of Rheumatoid Arthritis</t>
        </r>
      </text>
    </comment>
    <comment ref="I20" authorId="0" shapeId="0" xr:uid="{4B722F20-AC1C-48F8-9C07-5DE86CDCCD13}">
      <text>
        <r>
          <rPr>
            <sz val="9"/>
            <color indexed="81"/>
            <rFont val="Segoe UI"/>
            <family val="2"/>
          </rPr>
          <t>The paper is primarily about evaluating LLMs for rheumatoid arthritis screening; the Neo4j vector database is only mentioned in passing as a component enabling embedding-based retrieval in a RAG pipeline and is not examined, compared, or analyzed in any depth.</t>
        </r>
      </text>
    </comment>
    <comment ref="J20" authorId="0" shapeId="0" xr:uid="{9B638DC6-FFAD-48A0-8631-7D22452D403A}">
      <text>
        <r>
          <rPr>
            <sz val="9"/>
            <color indexed="81"/>
            <rFont val="Segoe UI"/>
            <family val="2"/>
          </rPr>
          <t>Evaluating LLM-based agentic AI frameworks (single-agent, RAG, dual-agent configurations) for screening rheumatoid arthritis, comparing diagnostic accuracy and quality of clinical reasoning across six LLMs.</t>
        </r>
      </text>
    </comment>
    <comment ref="K20" authorId="0" shapeId="0" xr:uid="{0CC60165-42C9-4A2D-BD22-56E08D29A2F7}">
      <text>
        <r>
          <rPr>
            <sz val="9"/>
            <color indexed="81"/>
            <rFont val="Segoe UI"/>
            <family val="2"/>
          </rPr>
          <t>Six LLMs were tested under three configurations (single-agent without knowledge base, single-agent with RAG, dual-agent diagnosis-validation flow) using a PreRAID dataset of 350 patient cases. A Neo4j vector database enabled embedding-based retrieval for the RAG setup. Accuracy was evaluated on 50 test cases and diagnostic reasoning was independently rated by two physicians on a four-point Likert scale.</t>
        </r>
      </text>
    </comment>
    <comment ref="L20" authorId="0" shapeId="0" xr:uid="{9CB95D94-5322-43DA-9FBB-E9B4CBEFB989}">
      <text>
        <r>
          <rPr>
            <sz val="9"/>
            <color indexed="81"/>
            <rFont val="Segoe UI"/>
            <family val="2"/>
          </rPr>
          <t>Neo4j</t>
        </r>
      </text>
    </comment>
    <comment ref="N20" authorId="0" shapeId="0" xr:uid="{05311CD8-00A1-45D9-97DC-F4E413E651A9}">
      <text>
        <r>
          <rPr>
            <sz val="9"/>
            <color indexed="81"/>
            <rFont val="Segoe UI"/>
            <family val="2"/>
          </rPr>
          <t>Rheumatoid arthritis screening and diagnosis</t>
        </r>
      </text>
    </comment>
    <comment ref="O20" authorId="0" shapeId="0" xr:uid="{88CA3A63-2749-4572-8DA6-9D6BD1B2A379}">
      <text>
        <r>
          <rPr>
            <sz val="9"/>
            <color indexed="81"/>
            <rFont val="Segoe UI"/>
            <family val="2"/>
          </rPr>
          <t>The paper tested six LLMs across three agentic configurations for RA screening using a 350-case PreRAID dataset. Deepseek R1 achieved the highest accuracy (82%) in the single-agent with knowledge base setting, followed by o1 and o3 mini (80% each). Accuracy dropped in the dual-agent setup, most notably for Gemini 2.5 Pro (37%) and Gemini 2.0 Flash (40%). Correct diagnostic justifications were suboptimal across all models, with Gemini 2.0 Flash and Deepseek R1 performing best. The dual-agent configuration did not improve reasoning logic and actually reduced diagnostic performance.</t>
        </r>
      </text>
    </comment>
    <comment ref="P20" authorId="0" shapeId="0" xr:uid="{BA6E3C08-B571-428A-8995-EE92ACC69A80}">
      <text>
        <r>
          <rPr>
            <sz val="9"/>
            <color indexed="81"/>
            <rFont val="Segoe UI"/>
            <family val="2"/>
          </rPr>
          <t>Lack of explainability limits clinical use of the screening system; Reasoning quality was suboptimal across all tested models; Dual-agent configuration reduced diagnostic performance without improving reasoning logic</t>
        </r>
      </text>
    </comment>
    <comment ref="Q20" authorId="0" shapeId="0" xr:uid="{E50D4FC5-24C9-43D8-BEDF-5E5363205710}">
      <text>
        <r>
          <rPr>
            <sz val="9"/>
            <color indexed="81"/>
            <rFont val="Segoe UI"/>
            <family val="2"/>
          </rPr>
          <t>Developing explainable AI for clinical screening applications</t>
        </r>
      </text>
    </comment>
    <comment ref="H21" authorId="0" shapeId="0" xr:uid="{1AD333D9-4341-499E-8D8E-AD40A2CC338A}">
      <text>
        <r>
          <rPr>
            <sz val="9"/>
            <color indexed="81"/>
            <rFont val="Segoe UI"/>
            <family val="2"/>
          </rPr>
          <t>Integrating Generative AI in Youth Mental Healthcare Solutions</t>
        </r>
      </text>
    </comment>
    <comment ref="I21" authorId="0" shapeId="0" xr:uid="{A31B8BEC-5FB6-4A6D-8F8A-A68E6BC29A99}">
      <text>
        <r>
          <rPr>
            <sz val="9"/>
            <color indexed="81"/>
            <rFont val="Segoe UI"/>
            <family val="2"/>
          </rPr>
          <t>The paper is entirely about a medical ML classification model (Random Forest) for COPD diagnosis; vector databases, vector indexing, or similarity search are not mentioned or addressed in any way.</t>
        </r>
      </text>
    </comment>
    <comment ref="J21" authorId="0" shapeId="0" xr:uid="{7146D4DC-32D4-4D2D-9915-9F662FFFDD84}">
      <text>
        <r>
          <rPr>
            <sz val="9"/>
            <color indexed="81"/>
            <rFont val="Segoe UI"/>
            <family val="2"/>
          </rPr>
          <t>Developing a machine learning model based on physical tests and risk factors for accurate and cost-effective diagnosis of Chronic Obstructive Pulmonary Disease (COPD), as an alternative to imaging-based approaches.</t>
        </r>
      </text>
    </comment>
    <comment ref="K21" authorId="0" shapeId="0" xr:uid="{85AAF552-0F87-42C6-BD81-22BCC339F495}">
      <text>
        <r>
          <rPr>
            <sz val="9"/>
            <color indexed="81"/>
            <rFont val="Segoe UI"/>
            <family val="2"/>
          </rPr>
          <t>A Random Forest classifier was trained on an open dataset of 100 COPD patients using physical tests (MWT1, MWT2, MWT1Best, FEV1, FEV1PRED, FVC, FVCPRED, CAT, HAD, SGRQ) and risk factors (age, gender, smoking, diabetes, hypertension, heart problems).</t>
        </r>
      </text>
    </comment>
    <comment ref="N21" authorId="0" shapeId="0" xr:uid="{C2AC0A74-1065-4FBD-8D07-A0260CCE0FFD}">
      <text>
        <r>
          <rPr>
            <sz val="9"/>
            <color indexed="81"/>
            <rFont val="Segoe UI"/>
            <family val="2"/>
          </rPr>
          <t>Medical diagnosis (COPD detection and early screening)</t>
        </r>
      </text>
    </comment>
    <comment ref="O21" authorId="0" shapeId="0" xr:uid="{FB83E8A9-DFA9-4AFC-B8E7-A98C7C2BB4AC}">
      <text>
        <r>
          <rPr>
            <sz val="9"/>
            <color indexed="81"/>
            <rFont val="Segoe UI"/>
            <family val="2"/>
          </rPr>
          <t>The paper trained a Random Forest classifier on 100 COPD patients using a set of physical tests and demographic risk factors. The model achieved 92.41% accuracy and a perfect recall of 1.00, correctly identifying all COPD patients in the dataset. The authors argue that this physical-test-based approach is more cost-effective and accessible than CT/X-ray imaging methods, making it suitable for resource-limited settings. The study positions the model as a practical tool for large-scale COPD screening and early detection.</t>
        </r>
      </text>
    </comment>
    <comment ref="P21" authorId="0" shapeId="0" xr:uid="{EC0EED94-5FD0-44E9-97F1-CB03BE713E4B}">
      <text>
        <r>
          <rPr>
            <sz val="9"/>
            <color indexed="81"/>
            <rFont val="Segoe UI"/>
            <family val="2"/>
          </rPr>
          <t>Small dataset of only 100 patients, limiting statistical power and generalizability; Sample may not adequately represent the broader population, potentially introducing bias; Model performance may be affected by data quality and completeness; Lack of external validation in different settings or populations; Dataset does not account for racial and ethnic diversity</t>
        </r>
      </text>
    </comment>
    <comment ref="Q21" authorId="0" shapeId="0" xr:uid="{437DF56D-7FF0-405C-95CA-DB39FFD951CF}">
      <text>
        <r>
          <rPr>
            <sz val="9"/>
            <color indexed="81"/>
            <rFont val="Segoe UI"/>
            <family val="2"/>
          </rPr>
          <t>Need for a larger and more diverse sample to validate results; Need for external validation in varied environments to confirm robustness; Need for a dataset that accounts for race and ethnicity to improve diagnostic accuracy</t>
        </r>
      </text>
    </comment>
    <comment ref="H22" authorId="0" shapeId="0" xr:uid="{61D721EF-2E9D-4330-9F99-760C603204A2}">
      <text>
        <r>
          <rPr>
            <sz val="9"/>
            <color indexed="81"/>
            <rFont val="Segoe UI"/>
            <family val="2"/>
          </rPr>
          <t>CARMINA: optimizing low-parameter language models for high-quality cardiovascular research assistance</t>
        </r>
      </text>
    </comment>
    <comment ref="I22" authorId="0" shapeId="0" xr:uid="{ABB6111A-08A0-4A10-B312-6AF12D8BB479}">
      <text>
        <r>
          <rPr>
            <sz val="9"/>
            <color indexed="81"/>
            <rFont val="Segoe UI"/>
            <family val="2"/>
          </rPr>
          <t>The paper is primarily about optimizing small LLMs and RAG architecture for a biomedical application; the MongoDB vector database is used only as a retrieval component within the RAG pipeline without any in-depth discussion, comparison, or analysis of vector database technology or indexing methods.</t>
        </r>
      </text>
    </comment>
    <comment ref="J22" authorId="0" shapeId="0" xr:uid="{3D3AE193-1D8E-4532-B409-98D971CDBCDB}">
      <text>
        <r>
          <rPr>
            <sz val="9"/>
            <color indexed="81"/>
            <rFont val="Segoe UI"/>
            <family val="2"/>
          </rPr>
          <t>Developing and validating CARMINA, a specialized biomedical assistant for cardiovascular research that uses optimized small (≤7B parameter) open-source language models within a RAG pipeline to achieve reliable, hallucination-reduced research assistance in resource-constrained environments.</t>
        </r>
      </text>
    </comment>
    <comment ref="K22" authorId="0" shapeId="0" xr:uid="{FAD514AF-4D04-49AD-A8C5-2CD520F99D38}">
      <text>
        <r>
          <rPr>
            <sz val="9"/>
            <color indexed="81"/>
            <rFont val="Segoe UI"/>
            <family val="2"/>
          </rPr>
          <t>Construction of a RAG system coupling four small LLMs (llama3.1:7b, gemma2:2b, qwen2:7b, phi3:3.8b) with a MongoDB vector database of 650,000 PubMed cardiology abstracts and GTE-large embeddings, optimized via prompt engineering; benchmarked with ~250 questions from scientific abstracts and evaluated by an independent LLM for accuracy, completeness, reference quality, and clarity.</t>
        </r>
      </text>
    </comment>
    <comment ref="L22" authorId="0" shapeId="0" xr:uid="{576D04B3-9EE5-4577-AE05-8CD0820FCDD8}">
      <text>
        <r>
          <rPr>
            <sz val="9"/>
            <color indexed="81"/>
            <rFont val="Segoe UI"/>
            <family val="2"/>
          </rPr>
          <t>MongoDB; llama3.1:7b; gemma2:2b; qwen2:7b; phi3:3.8b; GTE-large</t>
        </r>
      </text>
    </comment>
    <comment ref="N22" authorId="0" shapeId="0" xr:uid="{785A11B3-1076-451D-9166-9457E0A8BB8D}">
      <text>
        <r>
          <rPr>
            <sz val="9"/>
            <color indexed="81"/>
            <rFont val="Segoe UI"/>
            <family val="2"/>
          </rPr>
          <t>Cardiovascular research / biomedical literature assistance</t>
        </r>
      </text>
    </comment>
    <comment ref="O22" authorId="0" shapeId="0" xr:uid="{A17E83FC-6D9C-4FAC-9565-0F3AA0D92EA6}">
      <text>
        <r>
          <rPr>
            <sz val="9"/>
            <color indexed="81"/>
            <rFont val="Segoe UI"/>
            <family val="2"/>
          </rPr>
          <t>The authors built and validated a RAG-based biomedical assistant (CARMINA) using four small open-source LLMs coupled with a MongoDB vector database of 650,000 cardiology abstracts. Benchmarking with ~250 questions showed that qwen2:7b was the most consistent model across all evaluation metrics. All models appropriately acknowledged lack of information and provided relevant references. The optimized RAG architecture significantly reduced hallucination rates compared to standard implementations, and larger open-source models did not substantially improve performance. The authors conclude that small models with specialized RAG workflows can outperform non-specialized larger models for cardiovascular research assistance.</t>
        </r>
      </text>
    </comment>
    <comment ref="P22" authorId="0" shapeId="0" xr:uid="{30B67A3B-C3A7-40B6-A47A-E18B3EFEF267}">
      <text>
        <r>
          <rPr>
            <sz val="9"/>
            <color indexed="81"/>
            <rFont val="Segoe UI"/>
            <family val="2"/>
          </rPr>
          <t>Limitations of automated benchmarking methodologies; Inherent risks associated with using LLMs as evaluators</t>
        </r>
      </text>
    </comment>
    <comment ref="Q22" authorId="0" shapeId="0" xr:uid="{A7FCD471-D3B6-4BA8-8D44-411EF1D00997}">
      <text>
        <r>
          <rPr>
            <sz val="9"/>
            <color indexed="81"/>
            <rFont val="Segoe UI"/>
            <family val="2"/>
          </rPr>
          <t>Addressing the limitations of automated benchmarking methodologies; Addressing the inherent risks of using LLMs as evaluators</t>
        </r>
      </text>
    </comment>
    <comment ref="H23" authorId="0" shapeId="0" xr:uid="{82E0EA6E-D41D-4EBC-9059-C012E38217D5}">
      <text>
        <r>
          <rPr>
            <sz val="9"/>
            <color indexed="81"/>
            <rFont val="Segoe UI"/>
            <family val="2"/>
          </rPr>
          <t>Japanese-Language AI Agent System for Human Papillomavirus Vaccine Infoveillance and Public Communication: Development and Feasibility Evaluation</t>
        </r>
      </text>
    </comment>
    <comment ref="I23" authorId="0" shapeId="0" xr:uid="{E17B8FBA-CF8E-43C3-BB64-5D21FB572DC0}">
      <text>
        <r>
          <rPr>
            <sz val="9"/>
            <color indexed="81"/>
            <rFont val="Segoe UI"/>
            <family val="2"/>
          </rPr>
          <t>The vector database is mentioned only as one of three system components used for semantic search over documents; the paper does not propose, analyze, benchmark, or discuss vector database technology, indexing methods, or similarity search algorithms in any depth.</t>
        </r>
      </text>
    </comment>
    <comment ref="J23" authorId="0" shapeId="0" xr:uid="{E03DFBB3-58F0-4F70-A02B-D6E878FB2C85}">
      <text>
        <r>
          <rPr>
            <sz val="9"/>
            <color indexed="81"/>
            <rFont val="Segoe UI"/>
            <family val="2"/>
          </rPr>
          <t>Development and feasibility evaluation of a dual-purpose AI agent system that delivers verified HPV vaccine information to the Japanese public via a conversational interface while generating infoveillance reports for medical institutions based on user interactions and social media discourse.</t>
        </r>
      </text>
    </comment>
    <comment ref="K23" authorId="0" shapeId="0" xr:uid="{A1A338DC-45B5-4599-89B4-8ECE70D34647}">
      <text>
        <r>
          <rPr>
            <sz val="9"/>
            <color indexed="81"/>
            <rFont val="Segoe UI"/>
            <family val="2"/>
          </rPr>
          <t>Implementation of a three-component system: (1) a vector database integrating 139,803 documents from academic papers, government sources, news media, and social media; (2) a RAG-based chatbot using a ReAct agent architecture with iterative multitool orchestration across 5 specialized knowledge sources; and (3) an automated report generation system with modules for news analysis, research synthesis, sentiment analysis, stance classification, topic modeling, and user interaction pattern identification. Performance was assessed using automated LLM-based and manual expert evaluation protocols on a 0-to-5 scale.</t>
        </r>
      </text>
    </comment>
    <comment ref="N23" authorId="0" shapeId="0" xr:uid="{71C4D012-A896-4315-9A2D-DD4DCAD5A6AB}">
      <text>
        <r>
          <rPr>
            <sz val="9"/>
            <color indexed="81"/>
            <rFont val="Segoe UI"/>
            <family val="2"/>
          </rPr>
          <t>Public health communication and social media infoveillance for HPV vaccine information in Japan</t>
        </r>
      </text>
    </comment>
    <comment ref="O23" authorId="0" shapeId="0" xr:uid="{286DA284-8C74-440C-BF75-F7AF87F98D11}">
      <text>
        <r>
          <rPr>
            <sz val="9"/>
            <color indexed="81"/>
            <rFont val="Segoe UI"/>
            <family val="2"/>
          </rPr>
          <t>The system was evaluated through simulated conversations generated by 3 volunteers and report assessments by 3 evaluators over 4 periods. Single-turn chatbot evaluation yielded mean scores between 4.50 and 4.90 across five dimensions, with an overall mean of 4.80; multiturn evaluation improved the overall mean to 4.98. The report generation system achieved high scores for completeness (4.83) and correctness (4.88), with reference validity reaching perfect scores (5.00). Validation against human expert assessments showed reasonable agreement for objective dimensions (relevance, correctness) but greater variability for subjective dimensions (routing, reference quality), partly reflecting genuine inter-expert disagreement. The study concluded that the integrated AI agent system is feasible for supporting both public HPV vaccine communication and institutional discourse monitoring in a Japanese-language context.</t>
        </r>
      </text>
    </comment>
    <comment ref="P23" authorId="0" shapeId="0" xr:uid="{C03FA674-517A-4EEE-8F5A-D59DFF1286CD}">
      <text>
        <r>
          <rPr>
            <sz val="9"/>
            <color indexed="81"/>
            <rFont val="Segoe UI"/>
            <family val="2"/>
          </rPr>
          <t>The work is a proof-of-concept evaluation rather than a clinical or public health impact study; The system was not tested with real patients, members of the public, or clinical end users in an operational setting; Evaluation relied on simulated conversations generated by only 3 volunteers and report assessments by 3 evaluators over 4 periods; Social media data were exclusively derived from Japanese X users, potentially underrepresenting older adults and those with limited digital access; LLM-based evaluation may introduce biases that differ from human judgment, particularly for nuanced routing decisions; The evaluation dataset (31 conversations and 139 exchanges) may not capture all real-world interaction patterns; Keyword-based data collection introduces potential selection bias; Geographic specificity to the Japanese government constrains transferability to other national contexts</t>
        </r>
      </text>
    </comment>
    <comment ref="Q23" authorId="0" shapeId="0" xr:uid="{4AA718B0-12C9-4681-9CFA-95D2A6727188}">
      <text>
        <r>
          <rPr>
            <sz val="9"/>
            <color indexed="81"/>
            <rFont val="Segoe UI"/>
            <family val="2"/>
          </rPr>
          <t>Prospective deployment with real users is needed to assess actual public health impact; Adaptation of the architecture to other vaccines and health conditions; Extension to multilingual public health contexts</t>
        </r>
      </text>
    </comment>
    <comment ref="H24" authorId="0" shapeId="0" xr:uid="{6ED2E148-195F-4BEB-82CC-5953D3086E16}">
      <text>
        <r>
          <rPr>
            <sz val="9"/>
            <color indexed="81"/>
            <rFont val="Segoe UI"/>
            <family val="2"/>
          </rPr>
          <t>Previsit AI: A Retrieval-Augmented Generation for Patient Readiness in Clinical Encounters</t>
        </r>
      </text>
    </comment>
    <comment ref="I24" authorId="0" shapeId="0" xr:uid="{F8A14F34-6E00-4594-83BA-C68E53EE473E}">
      <text>
        <r>
          <rPr>
            <sz val="9"/>
            <color indexed="81"/>
            <rFont val="Segoe UI"/>
            <family val="2"/>
          </rPr>
          <t>The paper is primarily a healthcare application study on patient pre-visit preparation; Chroma (a vector database) is used merely as a retrieval component within the RAG pipeline, and the retrieval configuration experiments serve the application rather than analyzing vector database technology itself.</t>
        </r>
      </text>
    </comment>
    <comment ref="J24" authorId="0" shapeId="0" xr:uid="{9D18FB78-48C0-4B61-9433-0328E92B5CCE}">
      <text>
        <r>
          <rPr>
            <sz val="9"/>
            <color indexed="81"/>
            <rFont val="Segoe UI"/>
            <family val="2"/>
          </rPr>
          <t>Developing and evaluating the feasibility of a Retrieval-Augmented Generation (RAG) conversational tool (PreVisit AI) to improve patient readiness and communication quality before primary care clinical encounters.</t>
        </r>
      </text>
    </comment>
    <comment ref="K24" authorId="0" shapeId="0" xr:uid="{7D5B7505-F079-4450-A426-86BD744A7E55}">
      <text>
        <r>
          <rPr>
            <sz val="9"/>
            <color indexed="81"/>
            <rFont val="Segoe UI"/>
            <family val="2"/>
          </rPr>
          <t>An NLP-based conversational RAG pipeline using Chroma as the vector index for retrieval and the Gemini API for generation, evaluated across nine retrieval configurations (varying chunk size and retrieval depth) with ROUGE-L, BERTScore, Precision@k, and Recall@k metrics on twenty synthetic question-reference pairs.</t>
        </r>
      </text>
    </comment>
    <comment ref="L24" authorId="0" shapeId="0" xr:uid="{160A0AD4-EC86-4000-A40A-3AFC74AEF448}">
      <text>
        <r>
          <rPr>
            <sz val="9"/>
            <color indexed="81"/>
            <rFont val="Segoe UI"/>
            <family val="2"/>
          </rPr>
          <t>Chroma; Supabase; Gemini API</t>
        </r>
      </text>
    </comment>
    <comment ref="N24" authorId="0" shapeId="0" xr:uid="{F596112D-1CB8-4B38-BA58-3E75E1AE40D8}">
      <text>
        <r>
          <rPr>
            <sz val="9"/>
            <color indexed="81"/>
            <rFont val="Segoe UI"/>
            <family val="2"/>
          </rPr>
          <t>Patient pre-visit preparation and patient-provider communication in primary care</t>
        </r>
      </text>
    </comment>
    <comment ref="O24" authorId="0" shapeId="0" xr:uid="{1471AA01-196A-4EEB-9059-F91C9CF5DEF3}">
      <text>
        <r>
          <rPr>
            <sz val="9"/>
            <color indexed="81"/>
            <rFont val="Segoe UI"/>
            <family val="2"/>
          </rPr>
          <t>The paper developed PreVisit AI, a RAG system that retrieves from seven English plain-text clinical guides indexed in Chroma and generates responses via the Gemini API. Experiments varied chunk size and retrieval depth across nine configurations, computing mean ROUGE-L and BERTScore for each. Smaller chunk sizes provided more focused grounding for generation, and clinical-style prompts produced the strongest alignment with reference answers. The system performed consistently across retrieval configurations, demonstrating feasibility as a patient readiness assistant. However, the evaluation was limited to twenty synthetic questions and a small, author-curated corpus.</t>
        </r>
      </text>
    </comment>
    <comment ref="P24" authorId="0" shapeId="0" xr:uid="{60ED9B00-9608-4EAF-89A4-C767F584A29F}">
      <text>
        <r>
          <rPr>
            <sz val="9"/>
            <color indexed="81"/>
            <rFont val="Segoe UI"/>
            <family val="2"/>
          </rPr>
          <t>ROUGE-L and BERTScore measure similarity to reference text, not clinical correctness, safety, or usefulness; Retrieval metrics depend on document-level labels whose reliability is limited if finalized by a single annotator; The system does not verify claims against individual health records, provide emergency triage, or substitute for licensed clinical care; The knowledge base comprises only seven English plain-text guides that are small, static, and author-curated; Evaluation employed only twenty synthetic question-reference pairs without protected health information; Co-authorship of guides and references by the project team may inflate automatic metrics relative to real patient language; Standard public benchmarks (MedQA, PubMedQA, BioASQ) were not used; No model weights were trained; the guides were indexed for retrieval only; Supabase storage does not constitute HIPAA compliance; Gemini API usage implies third-party processing of prompts under vendor terms distinct from on-premises clinical hosting</t>
        </r>
      </text>
    </comment>
    <comment ref="Q24" authorId="0" shapeId="0" xr:uid="{511F3970-CE2F-4555-9434-7EDFFE532C04}">
      <text>
        <r>
          <rPr>
            <sz val="9"/>
            <color indexed="81"/>
            <rFont val="Segoe UI"/>
            <family val="2"/>
          </rPr>
          <t>Near-term progression from seven static guides to a multi-specialty curated library and governed clinical content feed; Transitioning the front end to a client over a content API and vector service rather than embedded source documents; Clinical safety validation of the system; Use of standard public benchmarks (MedQA, PubMedQA, BioASQ) for evaluation</t>
        </r>
      </text>
    </comment>
    <comment ref="H25" authorId="0" shapeId="0" xr:uid="{D7773CAC-5593-4840-9CA8-A366DE758C96}">
      <text>
        <r>
          <rPr>
            <sz val="9"/>
            <color indexed="81"/>
            <rFont val="Segoe UI"/>
            <family val="2"/>
          </rPr>
          <t>Development and Multireader Evaluation of Radiological RAG-System</t>
        </r>
      </text>
    </comment>
    <comment ref="I25" authorId="0" shapeId="0" xr:uid="{39B39D98-FDC3-491D-88FF-563C49B1B49F}">
      <text>
        <r>
          <rPr>
            <sz val="9"/>
            <color indexed="81"/>
            <rFont val="Segoe UI"/>
            <family val="2"/>
          </rPr>
          <t>The paper is primarily about developing and evaluating a RAG system for radiology; the vector database is mentioned only as one component of the pipeline (a 'two-level parent-child vector database') without any in-depth analysis, comparison of systems, or discussion of indexing technology.</t>
        </r>
      </text>
    </comment>
    <comment ref="J25" authorId="0" shapeId="0" xr:uid="{E1848F8E-D0DE-432F-AE69-003BEC1F38FA}">
      <text>
        <r>
          <rPr>
            <sz val="9"/>
            <color indexed="81"/>
            <rFont val="Segoe UI"/>
            <family val="2"/>
          </rPr>
          <t>Development and multireader evaluation of a retrieval-augmented generation (RAG) system for radiologists to provide grounded, hallucination-free responses to reference, regulatory, and methodological queries in routine radiological practice.</t>
        </r>
      </text>
    </comment>
    <comment ref="K25" authorId="0" shapeId="0" xr:uid="{9B312550-DC0F-4060-9745-0D6AAB01260C}">
      <text>
        <r>
          <rPr>
            <sz val="9"/>
            <color indexed="81"/>
            <rFont val="Segoe UI"/>
            <family val="2"/>
          </rPr>
          <t>A hierarchical RAG pipeline combining structured document parsing, a two-level parent-child vector database, hybrid dense-sparse retrieval, reranking, and a local LLM, evaluated through functional testing (77 queries), automated LLM-as-a-judge metrics, and multireader expert evaluation by 16 radiologists on 400 technical queries.</t>
        </r>
      </text>
    </comment>
    <comment ref="M25" authorId="0" shapeId="0" xr:uid="{A8D0DE16-25DC-413D-B288-9B4CD9B15E17}">
      <text>
        <r>
          <rPr>
            <sz val="9"/>
            <color indexed="81"/>
            <rFont val="Segoe UI"/>
            <family val="2"/>
          </rPr>
          <t>parent-child chunking/indexing; hybrid dense-sparse retrieval</t>
        </r>
      </text>
    </comment>
    <comment ref="N25" authorId="0" shapeId="0" xr:uid="{C1D71686-4B75-42C5-A3C1-56C951779AF6}">
      <text>
        <r>
          <rPr>
            <sz val="9"/>
            <color indexed="81"/>
            <rFont val="Segoe UI"/>
            <family val="2"/>
          </rPr>
          <t>Radiology (reference, regulatory, and methodological documentation queries)</t>
        </r>
      </text>
    </comment>
    <comment ref="O25" authorId="0" shapeId="0" xr:uid="{6421DB11-EEB2-49BB-8C8B-F4486E4D8C02}">
      <text>
        <r>
          <rPr>
            <sz val="9"/>
            <color indexed="81"/>
            <rFont val="Segoe UI"/>
            <family val="2"/>
          </rPr>
          <t>The RAG system was built on a radiologist-informed corpus of 1049 documents and evaluated via functional testing, automated metrics, and expert assessment. No hallucinations were detected in the 77-query functional testing set. On the full 400-query dataset, automated Contextual Precision, Contextual Recall, and Answer Relevancy were 0.735, 0.881, and 0.890, respectively. Expert evaluation showed high response accuracy (mean 4.53/5) and expert-assessed Contextual Precision of 0.886, with substantial to excellent inter-expert agreement. The moderate correlation between automated and expert-derived Contextual Precision highlighted limitations of LLM-as-a-judge metrics in domain-specific medical RAG.</t>
        </r>
      </text>
    </comment>
    <comment ref="P25" authorId="0" shapeId="0" xr:uid="{15E19B99-8874-48C4-B609-2025C7D3EB56}">
      <text>
        <r>
          <rPr>
            <sz val="9"/>
            <color indexed="81"/>
            <rFont val="Segoe UI"/>
            <family val="2"/>
          </rPr>
          <t>The system operates only with textual sources and does not analyze illustrations or medical images.; Knowledge base updating is currently manual and requires expert validation, parsing, cleaning, chunking, and reindexing.; The comparison between the RAG system and the LLM-only baseline was based only on automated metrics and was not assessed by multireader expert evaluation.; Retrieval hyperparameters were selected empirically during iterative debugging, and no full latency-performance ablation was performed.; The technical testing set was source-grounded and did not fully reproduce naturalistic workstation queries; no separate holdout-source or real-world user-log evaluation was conducted.; The system was tested on a single-institution corpus, limiting generalizability and requiring external validation.</t>
        </r>
      </text>
    </comment>
    <comment ref="Q25" authorId="0" shapeId="0" xr:uid="{7039311C-0588-4547-AFBE-519103968A5B}">
      <text>
        <r>
          <rPr>
            <sz val="9"/>
            <color indexed="81"/>
            <rFont val="Segoe UI"/>
            <family val="2"/>
          </rPr>
          <t>Expansion of the knowledge base and development of mechanisms for automated document updates within the vector database.; Partial automation of knowledge base updating steps including monitoring of source repositories, detection of updated documents, metadata extraction, duplicate identification, and scheduled reindexing.; Linking text fragments with associated illustrations or incorporating multimodal models capable of analyzing medical images.; Transition from a closed RAG pipeline to an agent-based system allowing the LLM to decide autonomously when external retrieval is needed.; Integration of structured tools beyond purely semantic retrieval to address cases where semantically similar documents are not actually relevant.; External validation of the system on other institutions and corpora.</t>
        </r>
      </text>
    </comment>
    <comment ref="H26" authorId="0" shapeId="0" xr:uid="{78A7D54C-5DD1-4397-AF9D-2AEB7A0C7287}">
      <text>
        <r>
          <rPr>
            <sz val="9"/>
            <color indexed="81"/>
            <rFont val="Segoe UI"/>
            <family val="2"/>
          </rPr>
          <t>Generating Personalized MRI Reports from Key Phrases with Multiple LLM Agents and RAG Technique</t>
        </r>
      </text>
    </comment>
    <comment ref="I26" authorId="0" shapeId="0" xr:uid="{B7E2E2B8-6CFC-4A5C-8B1A-ED78BD972FD5}">
      <text>
        <r>
          <rPr>
            <sz val="9"/>
            <color indexed="81"/>
            <rFont val="Segoe UI"/>
            <family val="2"/>
          </rPr>
          <t>The paper is primarily about LLM-based personalized MRI report generation in radiology; the vector database is used only as a retrieval component within the RAG pipeline and is not examined, compared, or analyzed in any depth.</t>
        </r>
      </text>
    </comment>
    <comment ref="J26" authorId="0" shapeId="0" xr:uid="{BAC44620-4F06-467F-A7C6-76B270D8B7E4}">
      <text>
        <r>
          <rPr>
            <sz val="9"/>
            <color indexed="81"/>
            <rFont val="Segoe UI"/>
            <family val="2"/>
          </rPr>
          <t>Generating personalized MRI report findings sections from key phrases using multiple LLM agents connected via a graph-based architecture and a RAG technique that retrieves author-specific reports from a vector database.</t>
        </r>
      </text>
    </comment>
    <comment ref="K26" authorId="0" shapeId="0" xr:uid="{47286754-5D7F-42CE-AF29-74F053C4E865}">
      <text>
        <r>
          <rPr>
            <sz val="9"/>
            <color indexed="81"/>
            <rFont val="Segoe UI"/>
            <family val="2"/>
          </rPr>
          <t>A multi-agent LLM system with graph-based software architecture where a data retriever node fetches relevant reports from a vector database, a findings generation node produces the findings section (two variations: merging retrieved findings parts vs. reconstructing from retrieved paragraphs), and an impression generation node summarizes findings into an impression. Generation quality was evaluated with BLEU, ROUGE, BERTScore, and a five-point Likert scale clinical assessment analyzed via Mann-Whitney U test.</t>
        </r>
      </text>
    </comment>
    <comment ref="N26" authorId="0" shapeId="0" xr:uid="{CEC5C1FD-CC26-452A-B9A6-DEBAA59D8A6F}">
      <text>
        <r>
          <rPr>
            <sz val="9"/>
            <color indexed="81"/>
            <rFont val="Segoe UI"/>
            <family val="2"/>
          </rPr>
          <t>Medical radiology – automated generation of MRI report findings and impression sections</t>
        </r>
      </text>
    </comment>
    <comment ref="O26" authorId="0" shapeId="0" xr:uid="{AE344C63-6315-4523-8929-EE57009331EC}">
      <text>
        <r>
          <rPr>
            <sz val="9"/>
            <color indexed="81"/>
            <rFont val="Segoe UI"/>
            <family val="2"/>
          </rPr>
          <t>Two variations of findings section generation were implemented and evaluated on a dataset of 908 reports from seven radiologists. The second variation (reconstructing findings from retrieved paragraphs) achieved a mean ROUGE-L of approximately 0.6 and BERTScore of roughly 0.9, while the first variation (merging retrieved findings parts) scored around 0.5 ROUGE-L and 0.8 BERTScore. The first variation was about three times slower than the second. Clinical evaluation by two radiologists showed that human-generated reports maintained statistically significant advantages in clinical correctness, completeness, and overall performance, while the risk-of-harm assessment showed no significant difference, suggesting LLMs could serve as safety validation tools.</t>
        </r>
      </text>
    </comment>
    <comment ref="P26" authorId="0" shapeId="0" xr:uid="{F0645766-F274-4B53-B5CB-0E451FA649B7}">
      <text>
        <r>
          <rPr>
            <sz val="9"/>
            <color indexed="81"/>
            <rFont val="Segoe UI"/>
            <family val="2"/>
          </rPr>
          <t>Optimal number of key phrases for generation does not exceed seven; the 8-billion-parameter LLM is unable to perform the merge operation eight or more times; In some experiments the LLM lost context and entered a loop generating the same token, or produced unexpected final text; There is a trade-off between generation time and the number of key phrases used</t>
        </r>
      </text>
    </comment>
    <comment ref="Q26" authorId="0" shapeId="0" xr:uid="{EAAFD080-7107-48B5-BFF0-ED50DE3DBB05}">
      <text>
        <r>
          <rPr>
            <sz val="9"/>
            <color indexed="81"/>
            <rFont val="Segoe UI"/>
            <family val="2"/>
          </rPr>
          <t>It is possible that an LLM with more parameters would be able to handle a larger number of key phrases; The area of automatic generation of a findings section has not been extensively explored yet</t>
        </r>
      </text>
    </comment>
    <comment ref="H27" authorId="0" shapeId="0" xr:uid="{1D81A190-7245-4A9C-95CF-13CE22A40F19}">
      <text>
        <r>
          <rPr>
            <sz val="9"/>
            <color indexed="81"/>
            <rFont val="Segoe UI"/>
            <family val="2"/>
          </rPr>
          <t>680 Is there a way to optimize the performance of preoperative diagnosis of patients with endometrial cancer on imaging? The artificial intelligence response</t>
        </r>
      </text>
    </comment>
    <comment ref="I27" authorId="0" shapeId="0" xr:uid="{9C92FDE2-C867-4FD8-BCCE-8742966CA223}">
      <text>
        <r>
          <rPr>
            <sz val="9"/>
            <color indexed="81"/>
            <rFont val="Segoe UI"/>
            <family val="2"/>
          </rPr>
          <t>The paper is primarily about endometrial cancer treatment, diagnosis, and immunology; a vector database is mentioned only once in passing as a component of a deep learning pipeline for medical image candidate retrieval, with no analysis, comparison, or discussion of vector database technology itself.</t>
        </r>
      </text>
    </comment>
    <comment ref="J27" authorId="0" shapeId="0" xr:uid="{C7CBCB7B-4F8D-4EBD-8574-1EB993AE5348}">
      <text>
        <r>
          <rPr>
            <sz val="9"/>
            <color indexed="81"/>
            <rFont val="Segoe UI"/>
            <family val="2"/>
          </rPr>
          <t>Endometrial cancer treatment, diagnosis, and related clinical research, including surgical approaches, MRI-based deep learning for myometrial invasion prediction, and immune cell infiltration in obese versus lean patients.</t>
        </r>
      </text>
    </comment>
    <comment ref="K27" authorId="0" shapeId="0" xr:uid="{FEC02F15-F2DE-404B-834A-D63C538E6BB1}">
      <text>
        <r>
          <rPr>
            <sz val="9"/>
            <color indexed="81"/>
            <rFont val="Segoe UI"/>
            <family val="2"/>
          </rPr>
          <t>Multiple approaches are presented: extraperitoneal laparoscopic lymphadenectomy, an end-to-end MRI-based deep learning pipeline with a Siamese network and a vector database for candidate retrieval, and immunohistochemical analysis of immune cell markers in endometrial biopsies.</t>
        </r>
      </text>
    </comment>
    <comment ref="N27" authorId="0" shapeId="0" xr:uid="{50EAA95F-F56D-47FE-8DCB-565DCB29EFB9}">
      <text>
        <r>
          <rPr>
            <sz val="9"/>
            <color indexed="81"/>
            <rFont val="Segoe UI"/>
            <family val="2"/>
          </rPr>
          <t>Medical imaging and oncology (endometrial cancer diagnosis and treatment)</t>
        </r>
      </text>
    </comment>
    <comment ref="O27" authorId="0" shapeId="0" xr:uid="{9DEFECF0-2AC8-4F5C-8B60-4E9C5491D0A1}">
      <text>
        <r>
          <rPr>
            <sz val="9"/>
            <color indexed="81"/>
            <rFont val="Segoe UI"/>
            <family val="2"/>
          </rPr>
          <t>The paper presents multiple clinical findings on endometrial cancer. The extraperitoneal approach for laparoscopic para-aortic lymphadenectomy was found feasible and safe. A deep learning pipeline achieved test accuracy of 0.79 for deep myometrial invasion prediction and 0.75 balanced accuracy for cervical stroma invasion prediction, with Dice coefficients of 0.87 and 0.60 for uterus and tumor segmentation respectively. Clinical data from Denpasar showed most patients were aged 50-59 with Stage II disease and Type 1 histopathology. Immune cell analysis revealed decreased epithelial immune cell infiltration in obese patients with malignancy, with diabetes increasing immune cell presence in that subgroup.</t>
        </r>
      </text>
    </comment>
    <comment ref="P27" authorId="0" shapeId="0" xr:uid="{C46D899A-7E93-4FFD-A65F-3838AAB0A151}">
      <text>
        <r>
          <rPr>
            <sz val="9"/>
            <color indexed="81"/>
            <rFont val="Segoe UI"/>
            <family val="2"/>
          </rPr>
          <t>The extraperitoneal approach requires an adequate learning curve and in-depth knowledge of retroperitoneal anatomy; The immune cell infiltration results need further studying, including mechanistic studying, in larger cohorts</t>
        </r>
      </text>
    </comment>
    <comment ref="Q27" authorId="0" shapeId="0" xr:uid="{9894D4B0-089D-4041-BAB5-3456DCBBC047}">
      <text>
        <r>
          <rPr>
            <sz val="9"/>
            <color indexed="81"/>
            <rFont val="Segoe UI"/>
            <family val="2"/>
          </rPr>
          <t>Further mechanistic studying of obesity-related low-grade inflammation and immune cell infiltration in larger cohorts is needed</t>
        </r>
      </text>
    </comment>
    <comment ref="H28" authorId="0" shapeId="0" xr:uid="{52E15DA7-09D9-4879-9909-6D452C34B21B}">
      <text>
        <r>
          <rPr>
            <sz val="9"/>
            <color indexed="81"/>
            <rFont val="Segoe UI"/>
            <family val="2"/>
          </rPr>
          <t>Vector databases in healthcare: Case Studies on Improving User Interaction</t>
        </r>
      </text>
    </comment>
    <comment ref="I28" authorId="0" shapeId="0" xr:uid="{E16A8F6A-5322-4E2F-8A84-572DCD672B65}">
      <text>
        <r>
          <rPr>
            <sz val="9"/>
            <color indexed="81"/>
            <rFont val="Segoe UI"/>
            <family val="2"/>
          </rPr>
          <t>The paper is primarily a healthcare application study that uses vector databases as a tool for data retrieval and semantic search; it does not propose, analyze, benchmark, or compare vector database systems or their core indexing technology, and no specific systems or indexing methods are discussed.</t>
        </r>
      </text>
    </comment>
    <comment ref="J28" authorId="0" shapeId="0" xr:uid="{354681E0-271B-43BB-BE38-9F6B2EFAB2BB}">
      <text>
        <r>
          <rPr>
            <sz val="9"/>
            <color indexed="81"/>
            <rFont val="Segoe UI"/>
            <family val="2"/>
          </rPr>
          <t>The application of vector databases in healthcare settings, including semantic search in electronic health records, medical imaging case retrieval, conversational AI for patient engagement, and predictive analytics for chronic disease management.</t>
        </r>
      </text>
    </comment>
    <comment ref="K28" authorId="0" shapeId="0" xr:uid="{C7351412-3F41-414E-925D-E05F8C422323}">
      <text>
        <r>
          <rPr>
            <sz val="9"/>
            <color indexed="81"/>
            <rFont val="Segoe UI"/>
            <family val="2"/>
          </rPr>
          <t>The paper presents case studies and a literature review (2015–2022) examining how vector databases are applied to healthcare data management, user interaction, and diagnostic support, discussing integration challenges and expected performance improvements.</t>
        </r>
      </text>
    </comment>
    <comment ref="N28" authorId="0" shapeId="0" xr:uid="{E9B80B8E-7901-4FD6-91D0-960BDC65D305}">
      <text>
        <r>
          <rPr>
            <sz val="9"/>
            <color indexed="81"/>
            <rFont val="Segoe UI"/>
            <family val="2"/>
          </rPr>
          <t>Healthcare: electronic health records, medical imaging, patient engagement, predictive analytics, and conversational AI</t>
        </r>
      </text>
    </comment>
    <comment ref="O28" authorId="0" shapeId="0" xr:uid="{39ED791B-3B68-450B-B353-A76D8959BCB1}">
      <text>
        <r>
          <rPr>
            <sz val="9"/>
            <color indexed="81"/>
            <rFont val="Segoe UI"/>
            <family val="2"/>
          </rPr>
          <t>The paper explores how vector databases can improve semantic search in EHRs, enable retrieval of similar cases in medical imaging, and power conversational AI for patient interaction. It argues that vector-based architectures bridge gaps in multimodal data integration (textual, imaging, genomic) by representing data in a common vector space. The findings suggest improved data accessibility, faster query response times, and enhanced diagnostic accuracy compared to traditional keyword-based systems. The study concludes that adopting vector-based architectures can elevate healthcare delivery quality and patient satisfaction. However, the paper remains largely conceptual, presenting expected results and discussion points rather than empirical measurements.</t>
        </r>
      </text>
    </comment>
    <comment ref="P28" authorId="0" shapeId="0" xr:uid="{5678A911-566E-4F2E-9C56-C5CD4A8E045A}">
      <text>
        <r>
          <rPr>
            <sz val="9"/>
            <color indexed="81"/>
            <rFont val="Segoe UI"/>
            <family val="2"/>
          </rPr>
          <t>Integration of vector databases with existing healthcare information systems without disrupting workflows remains a challenge; Data security and compliance for sensitive healthcare data in vector database deployments need to be addressed; Adoption of vector databases in healthcare remains underexplored; The paper presents expected results and discussion points rather than concrete empirical measurements or benchmarks</t>
        </r>
      </text>
    </comment>
    <comment ref="Q28" authorId="0" shapeId="0" xr:uid="{F4D9C044-ACF4-4C5C-B978-D3F190197506}">
      <text>
        <r>
          <rPr>
            <sz val="9"/>
            <color indexed="81"/>
            <rFont val="Segoe UI"/>
            <family val="2"/>
          </rPr>
          <t>Demonstrating tangible improvements in user interaction from vector database adoption in healthcare; Strategies for secure and compliant integration of vector databases with sensitive healthcare data; Addressing multimodal data integration challenges (textual, imaging, genomic data); Evaluating performance advantages of vector databases over traditional systems in large-scale healthcare applications; Assessing scalability of vector databases for rapidly growing healthcare datasets in real-time environments</t>
        </r>
      </text>
    </comment>
    <comment ref="H29" authorId="0" shapeId="0" xr:uid="{A5A0C831-0310-4641-8059-967078B5E61D}">
      <text>
        <r>
          <rPr>
            <sz val="9"/>
            <color indexed="81"/>
            <rFont val="Segoe UI"/>
            <family val="2"/>
          </rPr>
          <t>595 PRS-GPT Version1.0: Design and Implementation of a Open Access Specialty-Specific LLM</t>
        </r>
      </text>
    </comment>
    <comment ref="I29" authorId="0" shapeId="0" xr:uid="{7211291B-0BF6-40A4-8AFE-A41B9A6FF4AE}">
      <text>
        <r>
          <rPr>
            <sz val="9"/>
            <color indexed="81"/>
            <rFont val="Segoe UI"/>
            <family val="2"/>
          </rPr>
          <t>The paper is primarily a medical AI application describing a plastic surgery RAG system; Pinecone vector database is mentioned only once as a storage component of the pipeline, with no discussion of its indexing technology, performance characteristics, or comparison with other vector databases.</t>
        </r>
      </text>
    </comment>
    <comment ref="J29" authorId="0" shapeId="0" xr:uid="{89EC4202-B43F-45AA-8C56-857210489B8E}">
      <text>
        <r>
          <rPr>
            <sz val="9"/>
            <color indexed="81"/>
            <rFont val="Segoe UI"/>
            <family val="2"/>
          </rPr>
          <t>Development and preliminary testing of PRS-GPT, an open-access, specialty-specific retrieval-augmented LLM designed for plastic surgery education and clinical decision support.</t>
        </r>
      </text>
    </comment>
    <comment ref="K29" authorId="0" shapeId="0" xr:uid="{E2264C4C-E698-4725-8629-ADCC5F14186B}">
      <text>
        <r>
          <rPr>
            <sz val="9"/>
            <color indexed="81"/>
            <rFont val="Segoe UI"/>
            <family val="2"/>
          </rPr>
          <t>A corpus of over 60,000 open-access plastic surgery documents was embedded using OpenAI's embedding model and indexed in a Pinecone vector database. A RAG pipeline using GPT-4 generated citation-linked responses grounded in retrieved literature. Preliminary testing used 30 representative prompts across subspecialties to assess retrieval behaviour, citation inclusion, citation-claim fidelity, clarity, and safety guardrail performance.</t>
        </r>
      </text>
    </comment>
    <comment ref="L29" authorId="0" shapeId="0" xr:uid="{14ABB5B0-FD46-4A6E-8A37-9B3FCD8EC730}">
      <text>
        <r>
          <rPr>
            <sz val="9"/>
            <color indexed="81"/>
            <rFont val="Segoe UI"/>
            <family val="2"/>
          </rPr>
          <t>Pinecone; GPT-4; ChatGPT</t>
        </r>
      </text>
    </comment>
    <comment ref="N29" authorId="0" shapeId="0" xr:uid="{4E14C205-CE4B-4988-9150-B6669DB46171}">
      <text>
        <r>
          <rPr>
            <sz val="9"/>
            <color indexed="81"/>
            <rFont val="Segoe UI"/>
            <family val="2"/>
          </rPr>
          <t>Plastic surgery education and clinical decision support</t>
        </r>
      </text>
    </comment>
    <comment ref="O29" authorId="0" shapeId="0" xr:uid="{48D8418C-C915-4F7B-ABD8-2108F69CBDBE}">
      <text>
        <r>
          <rPr>
            <sz val="9"/>
            <color indexed="81"/>
            <rFont val="Segoe UI"/>
            <family val="2"/>
          </rPr>
          <t>PRS-GPT produced structured, on-topic, citation-linked responses across all tested subspecialties. In preliminary testing, 87% of outputs contained at least one literature citation and 80% demonstrated correct citation-claim fidelity on manual review. All patient-specific clinical questions triggered appropriate safety disclaimers, and median latency remained at 3-5 seconds, acceptable for real-time use. The authors conclude the system demonstrates feasibility of a scalable, specialty-specific RAG platform for surgical education, while noting that a full validation study with blinded expert scoring is still underway.</t>
        </r>
      </text>
    </comment>
    <comment ref="P29" authorId="0" shapeId="0" xr:uid="{F89042BF-5C9C-40E1-9664-AC066DA0BF14}">
      <text>
        <r>
          <rPr>
            <sz val="9"/>
            <color indexed="81"/>
            <rFont val="Segoe UI"/>
            <family val="2"/>
          </rPr>
          <t>Testing was preliminary, limited to only 30 representative prompts across subspecialties; Citation-claim fidelity was assessed by manual review rather than automated or blinded expert scoring; A full validation study involving blinded expert scoring has not yet been completed</t>
        </r>
      </text>
    </comment>
    <comment ref="Q29" authorId="0" shapeId="0" xr:uid="{FD71A758-FA0C-4484-9B54-8C42F5D7614B}">
      <text>
        <r>
          <rPr>
            <sz val="9"/>
            <color indexed="81"/>
            <rFont val="Segoe UI"/>
            <family val="2"/>
          </rPr>
          <t>A full validation study involving blinded expert scoring is needed to confirm the system's reliability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4DA5A7D8-71EF-4512-AA07-2C3548FB26F4}">
      <text>
        <r>
          <rPr>
            <sz val="9"/>
            <color indexed="81"/>
            <rFont val="Segoe UI"/>
            <family val="2"/>
          </rPr>
          <t>Letter: Augmenting Large Language Models With Automated, Bibliometrics-Powered Literature Search for Knowledge Distillation: A Pilot Study for Common Spinal Pathologies</t>
        </r>
      </text>
    </comment>
    <comment ref="I2" authorId="0" shapeId="0" xr:uid="{C181C2A1-309D-49E4-8D9C-0BD5F5DAB5ED}">
      <text>
        <r>
          <rPr>
            <sz val="9"/>
            <color indexed="81"/>
            <rFont val="Segoe UI"/>
            <family val="2"/>
          </rPr>
          <t>The vector database is mentioned only in passing as one step in a larger RAG pipeline ('article chunking and embedding into a vector database'), with no discussion of specific systems, indexing methods, or vector search technology. The paper's main subject is medical AI and clinical evidence synthesis in spinal neurosurgery.</t>
        </r>
      </text>
    </comment>
    <comment ref="J2" authorId="0" shapeId="0" xr:uid="{4A4FCD19-9B33-409A-BE41-AA21175D2678}">
      <text>
        <r>
          <rPr>
            <sz val="9"/>
            <color indexed="81"/>
            <rFont val="Segoe UI"/>
            <family val="2"/>
          </rPr>
          <t>A letter to the editor commenting on a bibliometrics-LLM pipeline for spinal pathology literature summarization, proposing the integration of deep learning, multimodal comprehension, and hierarchical evidence weighting to improve clinical utility.</t>
        </r>
      </text>
    </comment>
    <comment ref="K2" authorId="0" shapeId="0" xr:uid="{FDC2C32B-0902-4775-97A1-ECF2ED8FB490}">
      <text>
        <r>
          <rPr>
            <sz val="9"/>
            <color indexed="81"/>
            <rFont val="Segoe UI"/>
            <family val="2"/>
          </rPr>
          <t>The authors propose augmenting an existing retrieval-augmented generation pipeline with convolutional neural networks, transformer-based models, and hierarchical attention networks to enable multimodal comprehension and structured bias-aware inference for clinical evidence synthesis.</t>
        </r>
      </text>
    </comment>
    <comment ref="L2" authorId="0" shapeId="0" xr:uid="{DB7048A4-70C4-4AF4-A823-D4549753239D}">
      <text>
        <r>
          <rPr>
            <sz val="9"/>
            <color indexed="81"/>
            <rFont val="Segoe UI"/>
            <family val="2"/>
          </rPr>
          <t>OpenEvidence; Doximity</t>
        </r>
      </text>
    </comment>
    <comment ref="N2" authorId="0" shapeId="0" xr:uid="{A4642D26-3C8E-4DFF-8ED9-9B2A3507E3C3}">
      <text>
        <r>
          <rPr>
            <sz val="9"/>
            <color indexed="81"/>
            <rFont val="Segoe UI"/>
            <family val="2"/>
          </rPr>
          <t>Spinal neurosurgery literature summarization and clinical decision support</t>
        </r>
      </text>
    </comment>
    <comment ref="O2" authorId="0" shapeId="0" xr:uid="{668FC789-633E-4005-A04A-B15B76DF1175}">
      <text>
        <r>
          <rPr>
            <sz val="9"/>
            <color indexed="81"/>
            <rFont val="Segoe UI"/>
            <family val="2"/>
          </rPr>
          <t>The paper is a commentary letter that commends a pilot study by Kurland et al. on a bibliometrics-LLM pipeline for spinal pathology literature. The authors identify limitations of the existing system, including sequential linear processing and surface-level relevance matching. They propose integrating deep learning models (CNNs, transformers, hierarchical attention networks) to enable multimodal comprehension of figures, structured metadata, and clinical evidence weighting. The letter envisions a future where such systems are embedded in clinical decision algorithms and electronic medical records. No new experimental results are presented; the contribution is a forward-looking vision for improving the pipeline.</t>
        </r>
      </text>
    </comment>
    <comment ref="P2" authorId="0" shapeId="0" xr:uid="{D8DB53BF-1B1A-4171-A9EB-1370999215DF}">
      <text>
        <r>
          <rPr>
            <sz val="9"/>
            <color indexed="81"/>
            <rFont val="Segoe UI"/>
            <family val="2"/>
          </rPr>
          <t>The existing pipeline depends on sequential linear processing; The existing pipeline relies on surface-level relevance matching; The system may overlook clinical nuance and contextual interpretation; Doximity's GPT-4 integration currently lacks integrated evidence weighting or inference logic</t>
        </r>
      </text>
    </comment>
    <comment ref="Q2" authorId="0" shapeId="0" xr:uid="{5CBF431A-E842-4E65-9D15-11773787E71E}">
      <text>
        <r>
          <rPr>
            <sz val="9"/>
            <color indexed="81"/>
            <rFont val="Segoe UI"/>
            <family val="2"/>
          </rPr>
          <t>Integration of multimodal signals (radiographic imaging, Kaplan-Meier curves, algorithmic diagrams) into the summarization pipeline; Incorporation of structured metadata (cohort size, study design, effect size) as weighted inputs; Development of hierarchical attention networks to prioritize high-impact studies over case reports; Extension from text summarization to structured bias-aware inference; Integration of such systems into clinical-decision algorithms or electronic medical records for real-time access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C122C743-31AC-40CB-B149-EE3D545C7325}">
      <text>
        <r>
          <rPr>
            <sz val="9"/>
            <color indexed="81"/>
            <rFont val="Segoe UI"/>
            <family val="2"/>
          </rPr>
          <t>ORTHO AI : The Dawn Of A New Era: Artificial Intelligence In Orthopaedics</t>
        </r>
      </text>
    </comment>
    <comment ref="I2" authorId="0" shapeId="0" xr:uid="{21D931E6-8191-4F72-B551-E03CD479F039}">
      <text>
        <r>
          <rPr>
            <sz val="9"/>
            <color indexed="81"/>
            <rFont val="Segoe UI"/>
            <family val="2"/>
          </rPr>
          <t>The paper is entirely about AI applications in orthopaedics and does not mention vector databases, similarity search, or any related core technology at all.</t>
        </r>
      </text>
    </comment>
    <comment ref="J2" authorId="0" shapeId="0" xr:uid="{7B50FD3B-289F-49AC-B64C-69B5DB383B84}">
      <text>
        <r>
          <rPr>
            <sz val="9"/>
            <color indexed="81"/>
            <rFont val="Segoe UI"/>
            <family val="2"/>
          </rPr>
          <t>The potential of Artificial Intelligence to redefine orthopaedics in areas such as diagnosis, treatment planning, surgical execution, prosthetics, rehabilitation, and predictive analytics.</t>
        </r>
      </text>
    </comment>
    <comment ref="O2" authorId="0" shapeId="0" xr:uid="{D2FC22FA-9661-4F49-A4F6-DEA5B4D85550}">
      <text>
        <r>
          <rPr>
            <sz val="9"/>
            <color indexed="81"/>
            <rFont val="Segoe UI"/>
            <family val="2"/>
          </rPr>
          <t>The paper presents a vision statement announcing the launch of 'OrthoAI' as a new initiative focused on AI in orthopaedics. It outlines the areas where AI is expected to bring improvements, including diagnosis, treatment planning, surgical execution, prosthetics, rehabilitation, and predictive analytics. The authors express their intention to follow the field and present insights over time. No experimental results, benchmarks, or technical analyses are provided. The paper serves as a foundational announcement rather than a research contribution.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A2738FFB-77E8-4BEB-850D-FF0A2A86A65D}">
      <text>
        <r>
          <rPr>
            <sz val="9"/>
            <color indexed="81"/>
            <rFont val="Segoe UI"/>
            <family val="2"/>
          </rPr>
          <t>VECTOR: An Integrated Correlation Network Database for the Identification of CeRNA Axes in Uveal Melanoma</t>
        </r>
      </text>
    </comment>
    <comment ref="I2" authorId="0" shapeId="0" xr:uid="{BA2564E0-52F5-4157-9B7F-CC9C72152925}">
      <text>
        <r>
          <rPr>
            <sz val="9"/>
            <color indexed="81"/>
            <rFont val="Segoe UI"/>
            <family val="2"/>
          </rPr>
          <t>The paper is about a biological database for RNA correlation networks in uveal melanoma; the name 'VECTOR' is an acronym (uVeal mElanoma Correlation NeTwORk) and has no connection to vector databases, vector indexing, or nearest neighbor search technology.</t>
        </r>
      </text>
    </comment>
    <comment ref="J2" authorId="0" shapeId="0" xr:uid="{7A6B0796-AB48-4255-88AC-CBED8BFAB5D3}">
      <text>
        <r>
          <rPr>
            <sz val="9"/>
            <color indexed="81"/>
            <rFont val="Segoe UI"/>
            <family val="2"/>
          </rPr>
          <t>Identification and visualization of competitive endogenous RNA (ceRNA) regulatory networks in uveal melanoma by integrating expression correlations, RNA-RNA interactions, sense-antisense overlapping data, and transcription factor binding data into a single interactive database.</t>
        </r>
      </text>
    </comment>
    <comment ref="K2" authorId="0" shapeId="0" xr:uid="{E1E6A353-E38E-425D-BAD6-08D02DC2FFFF}">
      <text>
        <r>
          <rPr>
            <sz val="9"/>
            <color indexed="81"/>
            <rFont val="Segoe UI"/>
            <family val="2"/>
          </rPr>
          <t>Statistical elaboration of TCGA-derived expression data to compute correlation values among miRNAs, lncRNAs, and mRNAs, combined with predicted or validated RNA-RNA interactions, sense-antisense sequence overlapping data, and ChIPseq-based transcription factor binding data, all integrated into an interactive web-based database with graph visualization.</t>
        </r>
      </text>
    </comment>
    <comment ref="N2" authorId="0" shapeId="0" xr:uid="{2CB4E2F8-D470-4355-B077-326659C109EC}">
      <text>
        <r>
          <rPr>
            <sz val="9"/>
            <color indexed="81"/>
            <rFont val="Segoe UI"/>
            <family val="2"/>
          </rPr>
          <t>Cancer genomics and RNA biology (uveal melanoma)</t>
        </r>
      </text>
    </comment>
    <comment ref="O2" authorId="0" shapeId="0" xr:uid="{9BE43D36-4C1B-490C-A9E8-99923D038C61}">
      <text>
        <r>
          <rPr>
            <sz val="9"/>
            <color indexed="81"/>
            <rFont val="Segoe UI"/>
            <family val="2"/>
          </rPr>
          <t>The paper presents VECTOR, a web-based database that integrates TCGA-derived expression correlations among miRNAs, lncRNAs, and mRNAs with RNA-RNA interaction data, sense-antisense overlapping information, and transcription factor binding data for uveal melanoma. The database allows users to query by gene name and visualize ceRNA networks as interactive graphs with heatmaps. The authors validated their approach by confirming several network motifs (e.g., LINC00518/miR-199a-5p axis) and transcription factor regulations (e.g., CREB1, GABPA, SOX2) against existing literature. They also analyzed sense-antisense expression correlations, finding positive correlations most common in divergent pairs (over 80%) and negative correlations more frequent in convergent pairs (28.3% vs. 16.8%). The tool is presented as the most comprehensive integrated resource for RNA signaling in this rare intraocular cancer.</t>
        </r>
      </text>
    </comment>
    <comment ref="P2" authorId="0" shapeId="0" xr:uid="{02BBCBD4-E313-45CC-BAB8-8067AA1BC474}">
      <text>
        <r>
          <rPr>
            <sz val="9"/>
            <color indexed="81"/>
            <rFont val="Segoe UI"/>
            <family val="2"/>
          </rPr>
          <t>The UM TCGA dataset lacks physiological tissue data, preventing direct tumor-versus-normal comparisons; Stratification by clinicopathological features creates subgroups with low sample sizes, impairing statistical power; Multiple splicing variants of sense and antisense transcripts create a complex and heterogeneous scenario where no clear classification of overlapping regions was possible</t>
        </r>
      </text>
    </comment>
    <comment ref="Q2" authorId="0" shapeId="0" xr:uid="{78287155-304B-4BBE-8E3A-B9E0BFE35E01}">
      <text>
        <r>
          <rPr>
            <sz val="9"/>
            <color indexed="81"/>
            <rFont val="Segoe UI"/>
            <family val="2"/>
          </rPr>
          <t>The exact molecular mechanism underlying co-regulation or inverse correlation of sense and antisense transcripts is still under investigation; The VECTOR approach could be extended to build similar tools for other cancer models</t>
        </r>
      </text>
    </comment>
    <comment ref="H3" authorId="0" shapeId="0" xr:uid="{320791B6-75C1-457A-8FC6-1A70BB115BC6}">
      <text>
        <r>
          <rPr>
            <sz val="9"/>
            <color indexed="81"/>
            <rFont val="Segoe UI"/>
            <family val="2"/>
          </rPr>
          <t>A HYBRID APPROACH BASED MEDICAL IMAGE RETRIEVAL SYSTEM USING FEATURE OPTIMIZED CLASSIFICATION SIMILARITY FRAMEWORK</t>
        </r>
      </text>
    </comment>
    <comment ref="I3" authorId="0" shapeId="0" xr:uid="{8A48ECEE-5866-4CEB-9D69-186A333AA25B}">
      <text>
        <r>
          <rPr>
            <sz val="9"/>
            <color indexed="81"/>
            <rFont val="Segoe UI"/>
            <family val="2"/>
          </rPr>
          <t>The paper is about traditional medical image retrieval using texture features, PSO optimization, and RVM classification; the 'feature vector database' is merely a basic storage of numerical feature vectors, and no vector database systems, ANN indexing methods, or similarity search technology are discussed.</t>
        </r>
      </text>
    </comment>
    <comment ref="J3" authorId="0" shapeId="0" xr:uid="{52057927-B2B3-4B20-BC02-C945BDCF42E8}">
      <text>
        <r>
          <rPr>
            <sz val="9"/>
            <color indexed="81"/>
            <rFont val="Segoe UI"/>
            <family val="2"/>
          </rPr>
          <t>Content-based medical image retrieval (CBMIR) using a hybrid framework combining texture feature extraction, feature vector dimensionality reduction, feature classification, and similarity measurement to improve retrieval speed and accuracy for diagnosis and research.</t>
        </r>
      </text>
    </comment>
    <comment ref="K3" authorId="0" shapeId="0" xr:uid="{FFB3808D-17DF-4BE7-9C76-F194599C77F3}">
      <text>
        <r>
          <rPr>
            <sz val="9"/>
            <color indexed="81"/>
            <rFont val="Segoe UI"/>
            <family val="2"/>
          </rPr>
          <t>Texture features extracted via Gray Level Co-occurrence Matrix (GLCM) and Tamura Features (TF) are stored as a feature vector database; Fuzzy-based Particle Swarm Optimization (FPSO) reduces feature dimensionality; Fuzzy-based Relevance Vector Machine (FRVM) classifies reduced feature vectors; Euclidean Distance is used as the similarity measure between query and target images.</t>
        </r>
      </text>
    </comment>
    <comment ref="N3" authorId="0" shapeId="0" xr:uid="{1EACD5FC-FCEC-4553-8525-5B14153F9084}">
      <text>
        <r>
          <rPr>
            <sz val="9"/>
            <color indexed="81"/>
            <rFont val="Segoe UI"/>
            <family val="2"/>
          </rPr>
          <t>Medical image retrieval (lung, liver, kidney, brain images) for clinical diagnosis and medical research</t>
        </r>
      </text>
    </comment>
    <comment ref="O3" authorId="0" shapeId="0" xr:uid="{01BC93D6-8CA2-49AC-93E9-EEA64D3612AC}">
      <text>
        <r>
          <rPr>
            <sz val="9"/>
            <color indexed="81"/>
            <rFont val="Segoe UI"/>
            <family val="2"/>
          </rPr>
          <t>The FOCS framework was evaluated on a database of 1000 gray-level medical images of various body parts. Feature extraction achieved approximately 90% performance, and the optimization/classification phase also reached about 90% performance. In comparative testing on 54 lung image samples, the proposed Fuzzy PSO-RVM method converged faster and achieved higher precision and recall than PSO-SVM and PSO-RVM baselines. The authors conclude that the combined approach of multi-feature extraction, optimization, classification, and Euclidean similarity outperforms existing CBMIR systems in retrieval accuracy and speed.</t>
        </r>
      </text>
    </comment>
    <comment ref="H4" authorId="0" shapeId="0" xr:uid="{90B59765-84ED-4A6E-8302-8BD53415922A}">
      <text>
        <r>
          <rPr>
            <sz val="9"/>
            <color indexed="81"/>
            <rFont val="Segoe UI"/>
            <family val="2"/>
          </rPr>
          <t>Toward a Large Language Model-Driven Medical Knowledge Retrieval and QA System: Framework Design and Evaluation</t>
        </r>
      </text>
    </comment>
    <comment ref="I4" authorId="0" shapeId="0" xr:uid="{2EE6499C-FAB8-4560-B117-B00ADD711178}">
      <text>
        <r>
          <rPr>
            <sz val="9"/>
            <color indexed="81"/>
            <rFont val="Segoe UI"/>
            <family val="2"/>
          </rPr>
          <t>The paper's main subject is a medical LLM-based QA system (ERQA); the vector database is used as a supporting component within this system and is discussed only in the context of optimizing the medical retrieval pipeline (segmentation, embedding layers), not as a subject of study in itself.</t>
        </r>
      </text>
    </comment>
    <comment ref="J4" authorId="0" shapeId="0" xr:uid="{76E32411-3E1D-4F7E-85BA-0DC533A5C416}">
      <text>
        <r>
          <rPr>
            <sz val="9"/>
            <color indexed="81"/>
            <rFont val="Segoe UI"/>
            <family val="2"/>
          </rPr>
          <t>Designing and evaluating ERQA, an LLM-driven medical knowledge retrieval and question-answering framework that integrates a semantic vector database with a curated literature repository for biomedical literature retrieval, abstract summarization, and QA.</t>
        </r>
      </text>
    </comment>
    <comment ref="K4" authorId="0" shapeId="0" xr:uid="{8FFED8D8-314B-4B46-A92B-D6410DF9722D}">
      <text>
        <r>
          <rPr>
            <sz val="9"/>
            <color indexed="81"/>
            <rFont val="Segoe UI"/>
            <family val="2"/>
          </rPr>
          <t>Domain-specific incremental pretraining and supervised fine-tuning of a 13B-parameter LLM on medical literature, combined with a semantic vector database for retrieval and a curated literature repository, evaluated on the COVID-19 and TripClick datasets.</t>
        </r>
      </text>
    </comment>
    <comment ref="L4" authorId="0" shapeId="0" xr:uid="{9B6231CE-78AD-40A2-B2E3-F0A4263C5597}">
      <text>
        <r>
          <rPr>
            <sz val="9"/>
            <color indexed="81"/>
            <rFont val="Segoe UI"/>
            <family val="2"/>
          </rPr>
          <t>ERQA; BioMedLM; BioGPT; PMC-Llama</t>
        </r>
      </text>
    </comment>
    <comment ref="N4" authorId="0" shapeId="0" xr:uid="{49240729-D619-47D3-B096-BB389254D705}">
      <text>
        <r>
          <rPr>
            <sz val="9"/>
            <color indexed="81"/>
            <rFont val="Segoe UI"/>
            <family val="2"/>
          </rPr>
          <t>Biomedical knowledge retrieval and question-answering</t>
        </r>
      </text>
    </comment>
    <comment ref="O4" authorId="0" shapeId="0" xr:uid="{C29BB518-6CA1-4712-8612-F23F200FBC02}">
      <text>
        <r>
          <rPr>
            <sz val="9"/>
            <color indexed="81"/>
            <rFont val="Segoe UI"/>
            <family val="2"/>
          </rPr>
          <t>The paper proposes ERQA, a framework that combines an enhanced LLM with a semantic vector database and a curated literature repository for medical knowledge retrieval and QA. On the COVID-19 dataset, ERQA-13B achieves NDCG@10 of 0.297, Recall@10 of 0.347, and MRR of 0.370 for retrieval, ROUGE-1 of 0.434 for abstract summarization, and BLEU-1 of 7.851 for QA. Comparable performance on the TripClick dataset demonstrates adaptability across diverse medical topics. The authors identify hallucination in LLM-generated responses and suboptimal text segmentation granularity as key challenges affecting retrieval and QA quality. The framework is positioned as a step toward efficient biomedical knowledge discovery.</t>
        </r>
      </text>
    </comment>
    <comment ref="P4" authorId="0" shapeId="0" xr:uid="{D892F3B0-75A5-467B-82B6-81827644278C}">
      <text>
        <r>
          <rPr>
            <sz val="9"/>
            <color indexed="81"/>
            <rFont val="Segoe UI"/>
            <family val="2"/>
          </rPr>
          <t>Difficulty of retrieving articles that adequately satisfy user requirements due to complex medical literature content; Choosing optimal text segmentation granularity is challenging: too coarse leads to information overload or context loss, too fine risks omitting critical information; Selecting the appropriate hidden layer for embedding generation significantly affects retrieval quality; Hallucination in LLMs causes generated responses to diverge from reality due to data biases or inconsistencies; Balancing vector embeddings with metadata-based matching requires careful design to maximize accuracy and interpretability</t>
        </r>
      </text>
    </comment>
    <comment ref="Q4" authorId="0" shapeId="0" xr:uid="{5C86702B-1706-4AC9-9334-0B54F2E0A3AC}">
      <text>
        <r>
          <rPr>
            <sz val="9"/>
            <color indexed="81"/>
            <rFont val="Segoe UI"/>
            <family val="2"/>
          </rPr>
          <t>Developing an auxiliary retrieval strategy tailored to LLMs; Incorporating external knowledge sources and verification mechanisms to validate and refine model-generated responses and mitigate hallucination; Incorporating larger-scale biomedical literature datasets; Adopting additional evaluation metrics to further enhance model performance</t>
        </r>
      </text>
    </comment>
    <comment ref="H5" authorId="0" shapeId="0" xr:uid="{548CDEFB-5E40-4007-A73E-FE3EC5FB4FFE}">
      <text>
        <r>
          <rPr>
            <sz val="9"/>
            <color indexed="81"/>
            <rFont val="Segoe UI"/>
            <family val="2"/>
          </rPr>
          <t>FEATURE DIMENSION REDUCTION FOR EFFICIENT MEDICAL IMAGE RETRIEVAL SYSTEM USING UNIFIED FRAMEWORK</t>
        </r>
      </text>
    </comment>
    <comment ref="I5" authorId="0" shapeId="0" xr:uid="{5D2C089C-A8B2-457A-BE33-A8C8033F5BF2}">
      <text>
        <r>
          <rPr>
            <sz val="9"/>
            <color indexed="81"/>
            <rFont val="Segoe UI"/>
            <family val="2"/>
          </rPr>
          <t>The paper is primarily about medical image retrieval and optimization-based feature selection; the 'feature vector database' is merely a storage concept for extracted texture features, and no vector database systems, indexing methods, or similarity search algorithms are discussed.</t>
        </r>
      </text>
    </comment>
    <comment ref="J5" authorId="0" shapeId="0" xr:uid="{3C03EDE4-99D4-4F5F-AC64-9384EEEFDD80}">
      <text>
        <r>
          <rPr>
            <sz val="9"/>
            <color indexed="81"/>
            <rFont val="Segoe UI"/>
            <family val="2"/>
          </rPr>
          <t>Feature dimensionality reduction for efficient Content Based Medical Image Retrieval (CBMIR) using a unified framework combining feature extraction, optimized feature selection, classification, and similarity measurement.</t>
        </r>
      </text>
    </comment>
    <comment ref="K5" authorId="0" shapeId="0" xr:uid="{27DA141F-08BE-4926-9B41-65E5E1AC52C2}">
      <text>
        <r>
          <rPr>
            <sz val="9"/>
            <color indexed="81"/>
            <rFont val="Segoe UI"/>
            <family val="2"/>
          </rPr>
          <t>A unified framework (FPSO-ACO-FRVM) that extracts texture features via GLCM, Tamura, and Gabor filters, applies Fuzzy-based PSO combined with Ant Colony Optimization for feature selection and dimensionality reduction, classifies features using Fuzzy-based Relevance Vector Machine, and uses Euclidean Distance for similarity measurement between query and database images.</t>
        </r>
      </text>
    </comment>
    <comment ref="N5" authorId="0" shapeId="0" xr:uid="{F5A451AD-A39C-4F87-AB76-6FCA6677CB01}">
      <text>
        <r>
          <rPr>
            <sz val="9"/>
            <color indexed="81"/>
            <rFont val="Segoe UI"/>
            <family val="2"/>
          </rPr>
          <t>Medical image retrieval (CBMIR) for diagnosis and educational research, tested on gray-level images of lung, liver, kidney, and brain.</t>
        </r>
      </text>
    </comment>
    <comment ref="O5" authorId="0" shapeId="0" xr:uid="{EF9DC99A-CCA7-413A-82BD-37E572D9EBA9}">
      <text>
        <r>
          <rPr>
            <sz val="9"/>
            <color indexed="81"/>
            <rFont val="Segoe UI"/>
            <family val="2"/>
          </rPr>
          <t>The paper proposes the FPSO-ACO-FRVM unified framework to address feature dimensionality reduction in medical image retrieval. The system was implemented on a database of 1000 gray-level medical images and evaluated using precision and recall. The combined approach achieved approximately 96% performance in both feature selection and classification phases, outperforming FPSO-FRVM, PSO-RVM, and PSO-SVM baselines. The FPSO-ACO component successfully overcame local optima issues of standard PSO, and FRVM reduced the number of relevance vectors compared to unoptimized approaches. Overall, the framework demonstrated improved accuracy and reduced computational complexity for medical image retrieval.</t>
        </r>
      </text>
    </comment>
    <comment ref="P5" authorId="0" shapeId="0" xr:uid="{97369756-FFDC-4298-9A34-635F20E8C159}">
      <text>
        <r>
          <rPr>
            <sz val="9"/>
            <color indexed="81"/>
            <rFont val="Segoe UI"/>
            <family val="2"/>
          </rPr>
          <t>Impulsive convergence occurs in the feature selection phase when particle and cluster solutions narrow into local minimums during the search process; Parameter selection needs to be done in a more elegant way (acknowledged as a shortcoming)</t>
        </r>
      </text>
    </comment>
    <comment ref="Q5" authorId="0" shapeId="0" xr:uid="{2F4B5BD0-8C4B-4D86-918F-55E71BEF1FE6}">
      <text>
        <r>
          <rPr>
            <sz val="9"/>
            <color indexed="81"/>
            <rFont val="Segoe UI"/>
            <family val="2"/>
          </rPr>
          <t>Parameter selection should be taken in a more elegant way in future work</t>
        </r>
      </text>
    </comment>
    <comment ref="H6" authorId="0" shapeId="0" xr:uid="{2B735455-0605-46A8-BA00-5C79FB8FE984}">
      <text>
        <r>
          <rPr>
            <sz val="9"/>
            <color indexed="81"/>
            <rFont val="Segoe UI"/>
            <family val="2"/>
          </rPr>
          <t>AI-Powered Online Symptom Checkers: Enhancing Accuracy and Guiding Users to Appropriate Medical Care</t>
        </r>
      </text>
    </comment>
    <comment ref="I6" authorId="0" shapeId="0" xr:uid="{ACE037C4-3550-4373-B323-9936CB154F99}">
      <text>
        <r>
          <rPr>
            <sz val="9"/>
            <color indexed="81"/>
            <rFont val="Segoe UI"/>
            <family val="2"/>
          </rPr>
          <t>The paper is primarily a medical application (AI-powered symptom checker) in which a vector database (Faiss) is used merely as one component of the system architecture; no in-depth analysis, comparison, or improvement of vector database technology is presented.</t>
        </r>
      </text>
    </comment>
    <comment ref="J6" authorId="0" shapeId="0" xr:uid="{4E30F281-8EE7-4F19-88EE-5EEC56247D6D}">
      <text>
        <r>
          <rPr>
            <sz val="9"/>
            <color indexed="81"/>
            <rFont val="Segoe UI"/>
            <family val="2"/>
          </rPr>
          <t>Proposing a novel architecture for an AI-powered online symptom checker that combines a Vector Database, Faiss similarity search, and GPT API to provide accurate, personalized health advice and guide users to appropriate medical care.</t>
        </r>
      </text>
    </comment>
    <comment ref="K6" authorId="0" shapeId="0" xr:uid="{2F5D284E-4211-4001-B171-F51237DEC505}">
      <text>
        <r>
          <rPr>
            <sz val="9"/>
            <color indexed="81"/>
            <rFont val="Segoe UI"/>
            <family val="2"/>
          </rPr>
          <t>Integration of a Vector Database with the Faiss similarity search algorithm and the GPT (Generative Pre-trained Transformer) API into a unified architecture that analyzes user inputs, identifies intents, suggests tests, and generates context-aware responses using conversation history summarization.</t>
        </r>
      </text>
    </comment>
    <comment ref="L6" authorId="0" shapeId="0" xr:uid="{EC822667-C6E5-4AC1-9402-DA824EA03C8C}">
      <text>
        <r>
          <rPr>
            <sz val="9"/>
            <color indexed="81"/>
            <rFont val="Segoe UI"/>
            <family val="2"/>
          </rPr>
          <t>Faiss; GPT (Generative Pre-trained Transformer)</t>
        </r>
      </text>
    </comment>
    <comment ref="N6" authorId="0" shapeId="0" xr:uid="{1DBBE12C-FD4D-4786-B421-5D7CD16EBDFC}">
      <text>
        <r>
          <rPr>
            <sz val="9"/>
            <color indexed="81"/>
            <rFont val="Segoe UI"/>
            <family val="2"/>
          </rPr>
          <t>Online symptom checking and medical advice / healthcare accessibility</t>
        </r>
      </text>
    </comment>
    <comment ref="O6" authorId="0" shapeId="0" xr:uid="{A140D1F4-2783-4924-9C8A-2B54F5CACA71}">
      <text>
        <r>
          <rPr>
            <sz val="9"/>
            <color indexed="81"/>
            <rFont val="Segoe UI"/>
            <family val="2"/>
          </rPr>
          <t>The paper proposes and describes an architecture combining a Vector Database, Faiss, and GPT API for an online symptom checker. The system reportedly demonstrates high accuracy in intent identification, relevance in test suggestions, and quality in response generation. Incorporation of conversation history and context summarization enables tailored responses, enhancing user satisfaction. The authors conclude the architecture highlights the potential of AI in improving healthcare accessibility and reducing unnecessary medical visits. No quantitative benchmark results or comparative evaluations against other systems are reported in the provided text.</t>
        </r>
      </text>
    </comment>
    <comment ref="Q6" authorId="0" shapeId="0" xr:uid="{E42BCBDF-E03E-466C-BDEB-DF27EA8E06B6}">
      <text>
        <r>
          <rPr>
            <sz val="9"/>
            <color indexed="81"/>
            <rFont val="Segoe UI"/>
            <family val="2"/>
          </rPr>
          <t>Expanding the knowledge base; Integrating with electronic health records; Supporting multiple languages; Implementing continuous learning mechanisms</t>
        </r>
      </text>
    </comment>
    <comment ref="H7" authorId="0" shapeId="0" xr:uid="{A662FBD3-F8F1-4306-91CA-8EDC80690046}">
      <text>
        <r>
          <rPr>
            <sz val="9"/>
            <color indexed="81"/>
            <rFont val="Segoe UI"/>
            <family val="2"/>
          </rPr>
          <t>A Cloud-Based Approach for Privacy-Preserving Medical Image Retrieval: Leveraging Local Features and PCA in Two Efficient Steps</t>
        </r>
      </text>
    </comment>
    <comment ref="I7" authorId="0" shapeId="0" xr:uid="{40DC33B2-541D-4ABE-8472-37E2298E9B05}">
      <text>
        <r>
          <rPr>
            <sz val="9"/>
            <color indexed="81"/>
            <rFont val="Segoe UI"/>
            <family val="2"/>
          </rPr>
          <t>The paper's main subject is privacy-preserving medical image retrieval with encryption and watermarking; the feature vector database is used only as a storage and similarity-search tool within the proposed system, with no analysis, comparison, or improvement of vector database technology itself.</t>
        </r>
      </text>
    </comment>
    <comment ref="J7" authorId="0" shapeId="0" xr:uid="{35924A0A-E068-4CE2-AAE1-857A893512B6}">
      <text>
        <r>
          <rPr>
            <sz val="9"/>
            <color indexed="81"/>
            <rFont val="Segoe UI"/>
            <family val="2"/>
          </rPr>
          <t>A two-step privacy-preserving approach for secure medical image retrieval in the cloud, combining encryption, watermarking, and feature-based similarity search to protect patient data while enabling authorized access.</t>
        </r>
      </text>
    </comment>
    <comment ref="K7" authorId="0" shapeId="0" xr:uid="{353E04EA-6D91-4FE5-9641-A3C52D6420FF}">
      <text>
        <r>
          <rPr>
            <sz val="9"/>
            <color indexed="81"/>
            <rFont val="Segoe UI"/>
            <family val="2"/>
          </rPr>
          <t>A two-step security scheme where images are encrypted and watermarked before cloud storage; feature vectors are extracted using RDEBP combined with PCA to build a feature vector database; retrieval uses d1 distance metric for similarity measurement after two-stage user verification.</t>
        </r>
      </text>
    </comment>
    <comment ref="N7" authorId="0" shapeId="0" xr:uid="{CFF128BC-2DC6-4BBF-91BC-46239E74BB04}">
      <text>
        <r>
          <rPr>
            <sz val="9"/>
            <color indexed="81"/>
            <rFont val="Segoe UI"/>
            <family val="2"/>
          </rPr>
          <t>Medical image retrieval (brain tumour classification: meningioma, glioma, pituitary tumor)</t>
        </r>
      </text>
    </comment>
    <comment ref="O7" authorId="0" shapeId="0" xr:uid="{869D6A04-39F6-4D3B-97C2-898FC9E838AA}">
      <text>
        <r>
          <rPr>
            <sz val="9"/>
            <color indexed="81"/>
            <rFont val="Segoe UI"/>
            <family val="2"/>
          </rPr>
          <t>The paper proposes a two-step security approach (encryption + watermark embedding) for cloud-based medical image retrieval, evaluated on a Brain Tumour dataset of ~3065 images from 234 patients. Feature vectors are constructed using RDEBP combined with PCA, and retrieval is performed via d1 distance metric. The authors report retrieval accuracy in terms of mean average precision and recall, comparing against existing methods. Security analyses confirm robustness of the watermark-encryption scheme against unauthorized duplication and access. The approach is validated as both secure and efficient for sensitive medical imaging applications.</t>
        </r>
      </text>
    </comment>
    <comment ref="H8" authorId="0" shapeId="0" xr:uid="{E23A28B3-7358-4BA6-82A7-369824BB3850}">
      <text>
        <r>
          <rPr>
            <sz val="9"/>
            <color indexed="81"/>
            <rFont val="Segoe UI"/>
            <family val="2"/>
          </rPr>
          <t>Enhancing Clinical Named Entity Recognition via Fine-Tuned BERT and Dictionary-Infused Retrieval-Augmented Generation</t>
        </r>
      </text>
    </comment>
    <comment ref="I8" authorId="0" shapeId="0" xr:uid="{EA74F7D7-BE42-482C-84CF-3E6FDB8C50E9}">
      <text>
        <r>
          <rPr>
            <sz val="9"/>
            <color indexed="81"/>
            <rFont val="Segoe UI"/>
            <family val="2"/>
          </rPr>
          <t>The paper is primarily about clinical NER and a RAG-based normalization pipeline; the UMLS-based vector database is used only as a retrieval component within the DiRAG module and is not examined, compared, or analyzed as a subject of study.</t>
        </r>
      </text>
    </comment>
    <comment ref="J8" authorId="0" shapeId="0" xr:uid="{16502030-E57A-4575-96A0-D2B1F37FB0AC}">
      <text>
        <r>
          <rPr>
            <sz val="9"/>
            <color indexed="81"/>
            <rFont val="Segoe UI"/>
            <family val="2"/>
          </rPr>
          <t>Enhancing clinical Named Entity Recognition (NER) by combining a fine-tuned BERT model for entity extraction with a Dictionary-Infused Retrieval-Augmented Generation (DiRAG) module for terminology normalization of ambiguous or abbreviated medical terms.</t>
        </r>
      </text>
    </comment>
    <comment ref="K8" authorId="0" shapeId="0" xr:uid="{B688BAB0-D34B-4A16-A06D-300ED0B46C1A}">
      <text>
        <r>
          <rPr>
            <sz val="9"/>
            <color indexed="81"/>
            <rFont val="Segoe UI"/>
            <family val="2"/>
          </rPr>
          <t>A hybrid two-stage framework: (1) BERT-base fine-tuned on the MACCROBAT dataset for initial entity extraction, and (2) a DiRAG module that performs semantic retrieval from a UMLS-based vector database, combines it with lexical re-ranking, and uses prompt-based LLM generation to normalize ambiguous entities.</t>
        </r>
      </text>
    </comment>
    <comment ref="L8" authorId="0" shapeId="0" xr:uid="{FCED6C74-3FC7-4A31-BD37-4B35C4CB4480}">
      <text>
        <r>
          <rPr>
            <sz val="9"/>
            <color indexed="81"/>
            <rFont val="Segoe UI"/>
            <family val="2"/>
          </rPr>
          <t>UMLS; BERT; BioBERT; ClinicalBERT; MACCROBAT; AGBONNET; MIMIC-III</t>
        </r>
      </text>
    </comment>
    <comment ref="N8" authorId="0" shapeId="0" xr:uid="{EAA75E24-85AE-43E2-9312-619483977305}">
      <text>
        <r>
          <rPr>
            <sz val="9"/>
            <color indexed="81"/>
            <rFont val="Segoe UI"/>
            <family val="2"/>
          </rPr>
          <t>Clinical NLP / medical information extraction / clinical Named Entity Recognition</t>
        </r>
      </text>
    </comment>
    <comment ref="O8" authorId="0" shapeId="0" xr:uid="{3E9103D5-31E7-4B88-ACD9-85F8AED9C33D}">
      <text>
        <r>
          <rPr>
            <sz val="9"/>
            <color indexed="81"/>
            <rFont val="Segoe UI"/>
            <family val="2"/>
          </rPr>
          <t>The fine-tuned BERT model achieved an F1 score of 0.708 on the MACCROBAT dataset, outperforming domain-specific baselines including BioBERT and ClinicalBERT. The DiRAG module, which selectively normalizes only ambiguous or abbreviated entities using semantic retrieval from a UMLS-based vector database combined with lexical re-ranking and LLM prompting, further improved the interpretability and clinical relevance of extracted entities. Qualitative case studies demonstrated that the framework mitigates common issues such as abbreviation ambiguity and terminology inconsistency. The authors conclude that the hybrid approach offers a scalable and explainable method for clinical NER that aligns with real-world healthcare needs.</t>
        </r>
      </text>
    </comment>
    <comment ref="P8" authorId="0" shapeId="0" xr:uid="{AFBAD078-924F-413D-9754-207A4858A789}">
      <text>
        <r>
          <rPr>
            <sz val="9"/>
            <color indexed="81"/>
            <rFont val="Segoe UI"/>
            <family val="2"/>
          </rPr>
          <t>Manual evaluation of RAG-enhanced outputs was conducted on only 10 clinical notes, limiting the scope of qualitative insights; Evaluators were not trained medical professionals, raising the possibility of errors in assessing clinical appropriateness of substitutions; Evaluation is based on MACCROBAT and AGBONNET corpora comprising only 300 notes from limited specialties</t>
        </r>
      </text>
    </comment>
    <comment ref="Q8" authorId="0" shapeId="0" xr:uid="{B0D62E19-D721-4046-B8D0-303F743F8380}">
      <text>
        <r>
          <rPr>
            <sz val="9"/>
            <color indexed="81"/>
            <rFont val="Segoe UI"/>
            <family val="2"/>
          </rPr>
          <t>Larger-scale validation on 500 or more notes is needed to provide stronger evidence of generalizability; Expert validation by trained medical professionals is needed for a more reliable measure of clinical relevance; Testing on broader and more diverse corpora such as MIMIC-III or multi-institution datasets is needed to fully establish generalizability</t>
        </r>
      </text>
    </comment>
    <comment ref="H9" authorId="0" shapeId="0" xr:uid="{49D0C7C2-A7E1-43C7-8D83-5302DA37403C}">
      <text>
        <r>
          <rPr>
            <sz val="9"/>
            <color indexed="81"/>
            <rFont val="Segoe UI"/>
            <family val="2"/>
          </rPr>
          <t>GastroTCM: a large language model assistant for gastroenterology in traditional Chinese medicine</t>
        </r>
      </text>
    </comment>
    <comment ref="I9" authorId="0" shapeId="0" xr:uid="{4DE78E0A-7A18-4DB9-BB13-30136A1A90C6}">
      <text>
        <r>
          <rPr>
            <sz val="9"/>
            <color indexed="81"/>
            <rFont val="Segoe UI"/>
            <family val="2"/>
          </rPr>
          <t>The vector database is mentioned only as one component of the RAG pipeline supporting the LLM, with no analysis, comparison, benchmarking, or improvement of vector database technology or indexing methods.</t>
        </r>
      </text>
    </comment>
    <comment ref="J9" authorId="0" shapeId="0" xr:uid="{EB4EF7B8-4F47-4D7F-9F96-02C2D5B7607E}">
      <text>
        <r>
          <rPr>
            <sz val="9"/>
            <color indexed="81"/>
            <rFont val="Segoe UI"/>
            <family val="2"/>
          </rPr>
          <t>Developing a specialized large language model assistant (GastroTCM) for Traditional Chinese Medicine gastroenterology that provides accurate diagnostic support, reduces hallucinations, and supports multi-turn clinical consultations.</t>
        </r>
      </text>
    </comment>
    <comment ref="K9" authorId="0" shapeId="0" xr:uid="{F963C659-F096-4A2C-8F5B-0C328306653C}">
      <text>
        <r>
          <rPr>
            <sz val="9"/>
            <color indexed="81"/>
            <rFont val="Segoe UI"/>
            <family val="2"/>
          </rPr>
          <t>Fine-tuning a Llama3-8B model using LoRA on approximately 20 million tokens of clinical records and TCM knowledge, augmented with a Retrieval-Augmented Generation pipeline backed by a dedicated TCM gastroenterology vector database, ShareGPT-style multi-turn dialogue optimization, and an intelligent agent framework for dynamic retrieval.</t>
        </r>
      </text>
    </comment>
    <comment ref="L9" authorId="0" shapeId="0" xr:uid="{48BB8A50-56E7-4CB6-B812-CC6C4F7A2825}">
      <text>
        <r>
          <rPr>
            <sz val="9"/>
            <color indexed="81"/>
            <rFont val="Segoe UI"/>
            <family val="2"/>
          </rPr>
          <t>Llama3-8B; ChatGLM-6B; Qwen-2; GPT-4; GPT-3.5; Gemini Pro; Clinfo.ai; RISE</t>
        </r>
      </text>
    </comment>
    <comment ref="N9" authorId="0" shapeId="0" xr:uid="{CCFFE0EB-A29D-4775-A28F-5BF0E13176E4}">
      <text>
        <r>
          <rPr>
            <sz val="9"/>
            <color indexed="81"/>
            <rFont val="Segoe UI"/>
            <family val="2"/>
          </rPr>
          <t>TCM gastroenterology diagnosis and treatment support</t>
        </r>
      </text>
    </comment>
    <comment ref="O9" authorId="0" shapeId="0" xr:uid="{EF8C7B39-A762-4954-A6D0-A013806E614A}">
      <text>
        <r>
          <rPr>
            <sz val="9"/>
            <color indexed="81"/>
            <rFont val="Segoe UI"/>
            <family val="2"/>
          </rPr>
          <t>The authors built GastroTCM by fine-tuning Llama3-8B with LoRA and integrating a RAG pipeline with a dedicated TCM gastroenterology vector database, multi-turn dialogue optimization, and an intelligent agent. In automatic evaluations, GastroTCM outperformed ChatGLM-6B and Qwen-2 baselines in single-turn dialogue (BLEU 0.334 vs. 0.172–0.246) and multi-turn consultations (proactive clinically appropriate interactions in 27/60 cases vs. ≤2/60). Expert review by TCM gastroenterologists confirmed higher diagnostic accuracy and safety, with the RAG module markedly reducing unsupported or hallucinated statements (expert-verified win rate of 60%). The system demonstrated that domain-specific, retrieval-enhanced LLMs can augment TCM practitioners in gastroenterology.</t>
        </r>
      </text>
    </comment>
    <comment ref="P9" authorId="0" shapeId="0" xr:uid="{1354694B-2367-49B1-A93B-933F9AAF4710}">
      <text>
        <r>
          <rPr>
            <sz val="9"/>
            <color indexed="81"/>
            <rFont val="Segoe UI"/>
            <family val="2"/>
          </rPr>
          <t>GastroTCM is not intended to replace medical professionals; The system currently handles only text-based inputs without multimodal capabilities such as tongue coating image analysis; Cross-disease generalization beyond gastroenterology has not yet been addressed; Real-world clinical trials have not yet been conducted</t>
        </r>
      </text>
    </comment>
    <comment ref="Q9" authorId="0" shapeId="0" xr:uid="{DA1F256C-B726-4F1F-ABF6-F7B0ADE1282B}">
      <text>
        <r>
          <rPr>
            <sz val="9"/>
            <color indexed="81"/>
            <rFont val="Segoe UI"/>
            <family val="2"/>
          </rPr>
          <t>Expanding multimodal inputs (e.g., tongue coating image analysis); Improving cross-disease generalization; Conducting real-world clinical trials</t>
        </r>
      </text>
    </comment>
    <comment ref="H10" authorId="0" shapeId="0" xr:uid="{D090AD93-0253-4C0F-B69B-D30EEB368481}">
      <text>
        <r>
          <rPr>
            <sz val="9"/>
            <color indexed="81"/>
            <rFont val="Segoe UI"/>
            <family val="2"/>
          </rPr>
          <t>Implementation and Evaluation of an Open-Source Chatbot for Patient Information Leaflets</t>
        </r>
      </text>
    </comment>
    <comment ref="I10" authorId="0" shapeId="0" xr:uid="{2E4928CC-D7D5-489A-91EF-8BC8F9AD4736}">
      <text>
        <r>
          <rPr>
            <sz val="9"/>
            <color indexed="81"/>
            <rFont val="Segoe UI"/>
            <family val="2"/>
          </rPr>
          <t>The paper is primarily about developing and evaluating a healthcare chatbot (MediChat) for medication information; the Chroma vector database is used only as a component in the RAG pipeline and is not the subject of analysis, comparison, or improvement.</t>
        </r>
      </text>
    </comment>
    <comment ref="J10" authorId="0" shapeId="0" xr:uid="{86809149-92E7-4049-AFC4-975AE0EEA1C3}">
      <text>
        <r>
          <rPr>
            <sz val="9"/>
            <color indexed="81"/>
            <rFont val="Segoe UI"/>
            <family val="2"/>
          </rPr>
          <t>Development and evaluation of MediChat, an open-source, locally executable RAG-based chatbot that provides reliable medication information exclusively grounded in official patient information leaflets (PILs), targeting patients with varying health literacy levels.</t>
        </r>
      </text>
    </comment>
    <comment ref="K10" authorId="0" shapeId="0" xr:uid="{2EE76BB3-F891-46CD-A05F-057D2D8FE796}">
      <text>
        <r>
          <rPr>
            <sz val="9"/>
            <color indexed="81"/>
            <rFont val="Segoe UI"/>
            <family val="2"/>
          </rPr>
          <t>A RAG architecture where PILs from the Austrian Medicinal Product Index are retrieved via API, converted to text, split into overlapping chunks, embedded, and stored in a Chroma vector database. Top-k relevant chunks are retrieved and Llama 3.1 generates German responses. Evaluation uses a hybrid framework: quantitative (200 yes/no questions across ten drugs, measuring accuracy, precision, recall, F1, response time) and qualitative (two personas in eight simulated dialogues assessing task completion, relevance, and quantity).</t>
        </r>
      </text>
    </comment>
    <comment ref="L10" authorId="0" shapeId="0" xr:uid="{0BBE184D-5630-40C9-A083-47CEA547B470}">
      <text>
        <r>
          <rPr>
            <sz val="9"/>
            <color indexed="81"/>
            <rFont val="Segoe UI"/>
            <family val="2"/>
          </rPr>
          <t>Chroma; Llama 3.1; Rasa; BERT; PharmaBulaBot; MediScan; ChatGPT</t>
        </r>
      </text>
    </comment>
    <comment ref="N10" authorId="0" shapeId="0" xr:uid="{5A4CB525-18C4-4CE2-92AF-C357A360011E}">
      <text>
        <r>
          <rPr>
            <sz val="9"/>
            <color indexed="81"/>
            <rFont val="Segoe UI"/>
            <family val="2"/>
          </rPr>
          <t>Healthcare: medication information retrieval from patient information leaflets (PILs) for patients with varying health literacy levels</t>
        </r>
      </text>
    </comment>
    <comment ref="O10" authorId="0" shapeId="0" xr:uid="{C934D333-7581-4256-9FDD-73F99682AE4F}">
      <text>
        <r>
          <rPr>
            <sz val="9"/>
            <color indexed="81"/>
            <rFont val="Segoe UI"/>
            <family val="2"/>
          </rPr>
          <t>MediChat achieved 80% accuracy, precision of 0.977, recall of 0.686, and F1-score of 0.806 on 200 binary questions across ten drugs, with a mean response time of 727 ms. A no-RAG baseline (Llama 3.1 without leaflet retrieval) dropped to 71% accuracy, confirming the contribution of retrieval grounding. Qualitative persona-based dialogues showed task completion above 85% and response times of 1.1-1.3 s, with high ratings for relevance and quantity. The F1-score of 80.57% surpassed comparable healthcare chatbots in the literature. The authors note that the evaluation is exploratory due to the limited scope (ten drugs, 200 questions, two dialogues) and that broader testing is needed.</t>
        </r>
      </text>
    </comment>
    <comment ref="P10" authorId="0" shapeId="0" xr:uid="{510F4864-6D27-4A86-BF22-D361B0164595}">
      <text>
        <r>
          <rPr>
            <sz val="9"/>
            <color indexed="81"/>
            <rFont val="Segoe UI"/>
            <family val="2"/>
          </rPr>
          <t>Evaluation limited to ten medications and 200 binary questions, making findings exploratory rather than generalizable; Binary questions are rarely real user questions, so outcomes may differ in real-world settings; Ground truth generation using the same AI tool may introduce systematic bias; No additional manual verification of a random subset of the full 200 questions was conducted; Manual qualitative rating is subjective despite pre-formulated conditions; Absence of independent expert verification may lead to misclassification; The chatbot is locally deployed, so response times may vary on different servers; No user interface, safety disclaimers, or frontend integration yet implemented; No usability testing with end-users was conducted; Lack of standard evaluation frameworks in the literature makes cross-study comparisons challenging</t>
        </r>
      </text>
    </comment>
    <comment ref="Q10" authorId="0" shapeId="0" xr:uid="{BF1C7E43-CB3E-4C6A-A925-42289833574C}">
      <text>
        <r>
          <rPr>
            <sz val="9"/>
            <color indexed="81"/>
            <rFont val="Segoe UI"/>
            <family val="2"/>
          </rPr>
          <t>Broader evaluation on a larger set of package inserts with expert ratings is required; Improved transparency of the chatbot's decision process, including why no 'empty' responses were produced; Automated de-duplication or manual screening to remove near-duplicate questions before evaluation; Systematic evaluation of retrieval settings and hyperparameters (chunking and top-k); Systematic evaluation of the impact of retrieval choices, embedding model selection, and alternative vector databases; Long-term robustness via continuous monitoring and periodic regression tests for real-world deployment; Integration of a frontend for smartphone application deployment with safety disclaimers; Usability testing with end-users to improve accessibility; Development of a standard evaluation framework for healthcare chatbots</t>
        </r>
      </text>
    </comment>
    <comment ref="H11" authorId="0" shapeId="0" xr:uid="{2BEA3902-DA14-44B7-9207-A49EF9C39D50}">
      <text>
        <r>
          <rPr>
            <sz val="9"/>
            <color indexed="81"/>
            <rFont val="Segoe UI"/>
            <family val="2"/>
          </rPr>
          <t>Med.ai ASK: an agentic system for biomedical question answering</t>
        </r>
      </text>
    </comment>
    <comment ref="I11" authorId="0" shapeId="0" xr:uid="{007B1A9D-70AA-4364-A005-06CF508CAB2B}">
      <text>
        <r>
          <rPr>
            <sz val="9"/>
            <color indexed="81"/>
            <rFont val="Segoe UI"/>
            <family val="2"/>
          </rPr>
          <t>The paper is primarily about an agentic biomedical question-answering system; vector database retrieval is mentioned only as one of several retrieval tools in the RAG pipeline without any in-depth discussion of vector database technology, indexing methods, or system comparisons.</t>
        </r>
      </text>
    </comment>
    <comment ref="J11" authorId="0" shapeId="0" xr:uid="{D73EA467-D607-4E94-AD94-4E8621D1B9E3}">
      <text>
        <r>
          <rPr>
            <sz val="9"/>
            <color indexed="81"/>
            <rFont val="Segoe UI"/>
            <family val="2"/>
          </rPr>
          <t>An agentic question-answering system (Med.ai ASK) for biomedical inquiries that dynamically integrates multiple knowledge sources through tool-driven reasoning and retrieval-augmented generation.</t>
        </r>
      </text>
    </comment>
    <comment ref="K11" authorId="0" shapeId="0" xr:uid="{93393FB8-4277-474B-ABFB-44B701C71249}">
      <text>
        <r>
          <rPr>
            <sz val="9"/>
            <color indexed="81"/>
            <rFont val="Segoe UI"/>
            <family val="2"/>
          </rPr>
          <t>Adopts the ReAct framework's tool-calling architecture with Self-Discover atomic reasoning; selectively queries multiple biomedical knowledge bases (44 million documents) using map-reduce tools for vector database retrieval, external API calls, and NER tool integration; evaluated on BioASQ-12B, LitQA-v2, MedQA, GeneTuring, and an in-house dataset.</t>
        </r>
      </text>
    </comment>
    <comment ref="L11" authorId="0" shapeId="0" xr:uid="{2B342317-28B0-4425-A150-3987B0643593}">
      <text>
        <r>
          <rPr>
            <sz val="9"/>
            <color indexed="81"/>
            <rFont val="Segoe UI"/>
            <family val="2"/>
          </rPr>
          <t>Med.ai ASK; RAG-HAT; HippoRAG; DMIIP; UR-IW; MiBi; Med-PALM2; Med-Gemini; MemGPT; Memory OS; GPT-4.1</t>
        </r>
      </text>
    </comment>
    <comment ref="N11" authorId="0" shapeId="0" xr:uid="{CFB87FF5-E72C-427C-AEB9-0FE485487CA3}">
      <text>
        <r>
          <rPr>
            <sz val="9"/>
            <color indexed="81"/>
            <rFont val="Segoe UI"/>
            <family val="2"/>
          </rPr>
          <t>Biomedical question answering, clinical QA, literature search, gene/drug information retrieval</t>
        </r>
      </text>
    </comment>
    <comment ref="O11" authorId="0" shapeId="0" xr:uid="{AF73FBA7-0282-4CC5-AE62-6492427EB09D}">
      <text>
        <r>
          <rPr>
            <sz val="9"/>
            <color indexed="81"/>
            <rFont val="Segoe UI"/>
            <family val="2"/>
          </rPr>
          <t>The paper presents Med.ai ASK, an agentic QA system that orchestrates multiple retrieval tools over 44 million biomedical documents. Human and LLM-based evaluations show strong performance and stability, with superior accuracy, faithfulness, and factuality in long-form answers while reducing hallucinations compared to baselines. For short-form and multiple-choice answers, performance is competitive with state-of-the-art systems like Med-PALM2 and Med-Gemini. Ablation studies show that incorporating all tools does not always improve performance, and the agent performed worse on MedQA and GeneTuring where additional resources beyond literature are needed. The system was deployed in a production chat platform serving over 1600 users with 25,000 answered questions.</t>
        </r>
      </text>
    </comment>
    <comment ref="P11" authorId="0" shapeId="0" xr:uid="{1A39F479-E5F7-4005-BA5B-BD46004C3EE2}">
      <text>
        <r>
          <rPr>
            <sz val="9"/>
            <color indexed="81"/>
            <rFont val="Segoe UI"/>
            <family val="2"/>
          </rPr>
          <t>Human evaluation used only 20 questions, limiting the assessment scope; Agent performed worse on MedQA and GeneTuring datasets requiring resources beyond literature (e.g., medical textbooks, GeneOntology); Incorporating all available tools does not necessarily improve overall performance due to potential confusion in the LLM's decision-making; Outdated ground truths in BioASQ-12B and MedQA make evaluation challenging and can cause correct updated answers to be misclassified as hallucinations; Generated answers tend to be more verbose than those from other systems</t>
        </r>
      </text>
    </comment>
    <comment ref="Q11" authorId="0" shapeId="0" xr:uid="{7D89FE45-9A4E-4795-BA10-A220FE9B2A1E}">
      <text>
        <r>
          <rPr>
            <sz val="9"/>
            <color indexed="81"/>
            <rFont val="Segoe UI"/>
            <family val="2"/>
          </rPr>
          <t>Improve the retrieval step by using snippet extraction and ranking to reduce noisy information fed into the generation step; Integrate web search tools to access resources beyond the ingested literature; Connect with stakeholders' internal tools and databases to enrich underlying knowledge bases; Enhance the memory mechanism using methods such as MemGPT and Memory OS</t>
        </r>
      </text>
    </comment>
    <comment ref="H12" authorId="0" shapeId="0" xr:uid="{3A0EAD49-5211-4E07-AFBD-AABD37ED7828}">
      <text>
        <r>
          <rPr>
            <sz val="9"/>
            <color indexed="81"/>
            <rFont val="Segoe UI"/>
            <family val="2"/>
          </rPr>
          <t>AIDx: a locally deployable AI system for physician clinical decision support</t>
        </r>
      </text>
    </comment>
    <comment ref="I12" authorId="0" shapeId="0" xr:uid="{E3FB8A0F-E2FE-47DB-AD3A-1461FCDB8E20}">
      <text>
        <r>
          <rPr>
            <sz val="9"/>
            <color indexed="81"/>
            <rFont val="Segoe UI"/>
            <family val="2"/>
          </rPr>
          <t>The paper is primarily about a medical AI system for clinical decision support; FAISS and vector search are only mentioned as a component of the RAG pipeline and are not the subject of analysis, comparison, or improvement.</t>
        </r>
      </text>
    </comment>
    <comment ref="J12" authorId="0" shapeId="0" xr:uid="{1BCC2F0D-87E9-489B-9065-06EFE2C5FA4A}">
      <text>
        <r>
          <rPr>
            <sz val="9"/>
            <color indexed="81"/>
            <rFont val="Segoe UI"/>
            <family val="2"/>
          </rPr>
          <t>Development and benchmark evaluation of AIDx, a locally deployable AI system for physician clinical decision support, centered on a fine-tuned LLM (AIDx-Copilot) with optional retrieval-augmented generation from open medical references.</t>
        </r>
      </text>
    </comment>
    <comment ref="K12" authorId="0" shapeId="0" xr:uid="{4C23C5B1-CB96-469A-9294-F307E052E611}">
      <text>
        <r>
          <rPr>
            <sz val="9"/>
            <color indexed="81"/>
            <rFont val="Segoe UI"/>
            <family val="2"/>
          </rPr>
          <t>Fine-tuning a Mixtral-8x7B-Instruct base model on de-identified EHR data (MIMIC-IV), optionally grounding responses via RAG from open medical references, then evaluating on the MultiMedQA benchmark suite (MedQA, PubMedQA, MedMCQA, MMLU medical subjects) under a deterministic single-pass protocol, with ablation experiments isolating fine-tuning vs. RAG contributions and a qualitative error analysis of 200 items.</t>
        </r>
      </text>
    </comment>
    <comment ref="L12" authorId="0" shapeId="0" xr:uid="{6FED0F94-E97E-4B4D-9C89-974C963B8D59}">
      <text>
        <r>
          <rPr>
            <sz val="9"/>
            <color indexed="81"/>
            <rFont val="Segoe UI"/>
            <family val="2"/>
          </rPr>
          <t>FAISS; Mixtral-8x7B-Instruct; GPT-3.5; GPT-4; ChatGPT</t>
        </r>
      </text>
    </comment>
    <comment ref="N12" authorId="0" shapeId="0" xr:uid="{0D620D6C-A17D-4A62-A079-508F0950C664}">
      <text>
        <r>
          <rPr>
            <sz val="9"/>
            <color indexed="81"/>
            <rFont val="Segoe UI"/>
            <family val="2"/>
          </rPr>
          <t>Medical question answering and clinical decision support in emergency medicine</t>
        </r>
      </text>
    </comment>
    <comment ref="O12" authorId="0" shapeId="0" xr:uid="{1FDC1665-69B8-4729-966C-7D8E085790FE}">
      <text>
        <r>
          <rPr>
            <sz val="9"/>
            <color indexed="81"/>
            <rFont val="Segoe UI"/>
            <family val="2"/>
          </rPr>
          <t>AIDx-Copilot achieves a mean accuracy of 83.61% (SD 7.37) across nine MultiMedQA subsets under a deterministic single-pass protocol. Ablation experiments show that EHR-based fine-tuning accounts for the majority of the performance gain (+17.8 percentage points over the base model), while RAG provides only a modest additional benefit (+0.4 points on average). A qualitative error analysis of 200 incorrectly answered items identifies knowledge gaps (41.0%) and reasoning errors (38.0%) as the dominant failure modes. Under the quantized on-premises configuration, the system achieves a median latency of 0.84 seconds per query and fits within 28.1 GB of VRAM across two commodity GPUs.</t>
        </r>
      </text>
    </comment>
    <comment ref="P12" authorId="0" shapeId="0" xr:uid="{71377ED8-AD61-4B4C-B8B2-56C402A6345C}">
      <text>
        <r>
          <rPr>
            <sz val="9"/>
            <color indexed="81"/>
            <rFont val="Segoe UI"/>
            <family val="2"/>
          </rPr>
          <t>No clinical trials, usability testing, or retrospective chart review were conducted; results should not be interpreted as evidence of clinical effectiveness or safety.; The system is single-modal (text only) and does not ingest imaging or waveform data.; The error analysis is based on a stratified sample of 200 items with manual coding by a single reviewer; inter-rater reliability was not assessed.; The ablation study varies configurations on standard benchmarks and does not include clinical task evaluations.; Operational metrics were measured on a specific hardware configuration; actual deployment performance will vary with hardware, concurrent load, and query complexity.</t>
        </r>
      </text>
    </comment>
    <comment ref="Q12" authorId="0" shapeId="0" xr:uid="{E349430F-AB6C-4DDB-B15D-5175E049E0DA}">
      <text>
        <r>
          <rPr>
            <sz val="9"/>
            <color indexed="81"/>
            <rFont val="Segoe UI"/>
            <family val="2"/>
          </rPr>
          <t>An IRB-approved study measuring task completion time, clinician agreement, error interception, and perceived workload with and without AIDx.; Expand the error analysis with multiple reviewers and inter-rater agreement.; Evaluate failure modes on clinical (non-benchmark) tasks.; Compare against fully replicable open baselines under the same deterministic protocol.; Expand the system to multimodal inputs where appropriate.</t>
        </r>
      </text>
    </comment>
    <comment ref="H13" authorId="0" shapeId="0" xr:uid="{A7F92561-23A4-4BEC-A508-26A51AE08AAC}">
      <text>
        <r>
          <rPr>
            <sz val="9"/>
            <color indexed="81"/>
            <rFont val="Segoe UI"/>
            <family val="2"/>
          </rPr>
          <t>SentinelGPT: A Large Language Model for Detecting Suicide and Depression Tendencies among Adolescents Based on the Micro-blog’s “Tree Hole” and GraphRAG</t>
        </r>
      </text>
    </comment>
    <comment ref="I13" authorId="0" shapeId="0" xr:uid="{8842D01D-D5B0-4911-9820-5F8FAB395723}">
      <text>
        <r>
          <rPr>
            <sz val="9"/>
            <color indexed="81"/>
            <rFont val="Segoe UI"/>
            <family val="2"/>
          </rPr>
          <t>The paper is primarily about an LLM-based mental-health detection system (SentinelGPT); a vector database is mentioned only as one component of the GraphRAG architecture for enabling 'efficient similarity retrieval' and is not studied, compared, or analyzed in any depth.</t>
        </r>
      </text>
    </comment>
    <comment ref="J13" authorId="0" shapeId="0" xr:uid="{BCF80BB4-C70C-4AFF-88F6-693C78815C57}">
      <text>
        <r>
          <rPr>
            <sz val="9"/>
            <color indexed="81"/>
            <rFont val="Segoe UI"/>
            <family val="2"/>
          </rPr>
          <t>Detecting suicidal and depressive tendencies among adolescents on social media (Micro-blog 'Tree Hole') using a GraphRAG-enhanced large language model (SentinelGPT) with LoRA fine-tuning.</t>
        </r>
      </text>
    </comment>
    <comment ref="K13" authorId="0" shapeId="0" xr:uid="{B4129632-1470-49B8-9B8A-1134D1A31A6A}">
      <text>
        <r>
          <rPr>
            <sz val="9"/>
            <color indexed="81"/>
            <rFont val="Segoe UI"/>
            <family val="2"/>
          </rPr>
          <t>Combining a GraphRAG architecture (knowledge graph for structured domain knowledge plus a vector database for semantic retrieval) with LoRA fine-tuning of the LLaMA 3.1 model, deployed privately via the Ollama framework. A risk-aware corpus of over 200,000 annotated social-media messages was constructed with four-level labels for suicidal and depressive tendencies.</t>
        </r>
      </text>
    </comment>
    <comment ref="L13" authorId="0" shapeId="0" xr:uid="{5ADC6E44-3A62-4FA6-90E6-296315F71E8A}">
      <text>
        <r>
          <rPr>
            <sz val="9"/>
            <color indexed="81"/>
            <rFont val="Segoe UI"/>
            <family val="2"/>
          </rPr>
          <t>LLaMA 3.1; Ollama; DeepSeek V3; Qwen 2.5; ELECTRA; Sentence-BERT (SBERT)</t>
        </r>
      </text>
    </comment>
    <comment ref="N13" authorId="0" shapeId="0" xr:uid="{30F70CC7-FF75-4F11-8EAC-FE4DBF6E1EFD}">
      <text>
        <r>
          <rPr>
            <sz val="9"/>
            <color indexed="81"/>
            <rFont val="Segoe UI"/>
            <family val="2"/>
          </rPr>
          <t>Adolescent mental-health monitoring (suicidal and depressive tendency detection) on social media text</t>
        </r>
      </text>
    </comment>
    <comment ref="O13" authorId="0" shapeId="0" xr:uid="{723EEE43-AA25-44A0-AC06-0F8FB09DAD52}">
      <text>
        <r>
          <rPr>
            <sz val="9"/>
            <color indexed="81"/>
            <rFont val="Segoe UI"/>
            <family val="2"/>
          </rPr>
          <t>SentinelGPT was evaluated against DeepSeek V3, Qwen 2.5, Fine-tuned Qwen 2.5, and ELECTRA on both suicidal-tendency and depressive-tendency detection tasks, achieving higher precision-recall balance and superior F1-scores. Ablation studies confirmed that the synergistic integration of GraphRAG and LoRA fine-tuning enables semantic coherence in multi-turn dialogue and interpretable retrieval-generation. The model effectively distinguishes normal emotional expressions from varying levels of psychological risk, with particular strength in subtle risk-level distinctions. The system also addresses data sparsity, semantic ambiguity in metaphorical language, and privacy concerns through private deployment.</t>
        </r>
      </text>
    </comment>
    <comment ref="P13" authorId="0" shapeId="0" xr:uid="{5EC63782-5862-4957-9F27-FC4953D16DC8}">
      <text>
        <r>
          <rPr>
            <sz val="9"/>
            <color indexed="81"/>
            <rFont val="Segoe UI"/>
            <family val="2"/>
          </rPr>
          <t>The model is designed only as an assistive tool; outputs must be reviewed by qualified mental-health professionals before informing intervention decisions; Confidence calibration and fairness evaluation are not yet fully addressed; The dataset is limited to a single Micro-blog 'Tree Hole' (the 'Zoufan' tree hole) from 2012–2014, which may limit generalizability</t>
        </r>
      </text>
    </comment>
    <comment ref="Q13" authorId="0" shapeId="0" xr:uid="{B1CF71C4-7283-401D-99DF-2F0D16499E30}">
      <text>
        <r>
          <rPr>
            <sz val="9"/>
            <color indexed="81"/>
            <rFont val="Segoe UI"/>
            <family val="2"/>
          </rPr>
          <t>Expanding knowledge sources on adolescent suicidal ideation by incorporating professional research findings and clinical case data; Investigating more efficient fine-tuning strategies such as QLoRA to enhance adaptability while reducing resource consumption; Integrating multimodal data including speech and visual cues to better capture emotional tone and behavioural signals; Improving confidence calibration and fairness evaluation to mitigate ethical concerns</t>
        </r>
      </text>
    </comment>
    <comment ref="H14" authorId="0" shapeId="0" xr:uid="{898603EA-8244-4F9C-AF20-F8F8BD5FC12A}">
      <text>
        <r>
          <rPr>
            <sz val="9"/>
            <color indexed="81"/>
            <rFont val="Segoe UI"/>
            <family val="2"/>
          </rPr>
          <t>MINDMATRIX: A RETRIEVAL-AUGMENTED GENERATION FRAMEWORK FOR MULTI-CLASS MENTAL HEALTH RISK ASSESSMENT USING LARGE LANGUAGE MODELS</t>
        </r>
      </text>
    </comment>
    <comment ref="I14" authorId="0" shapeId="0" xr:uid="{A4B2B385-DD97-4DFB-996F-AF1C7BFEA2BA}">
      <text>
        <r>
          <rPr>
            <sz val="9"/>
            <color indexed="81"/>
            <rFont val="Segoe UI"/>
            <family val="2"/>
          </rPr>
          <t>The paper's main subject is a RAG framework for mental health risk assessment; ChromaDB is mentioned only as a component for storing embeddings and performing retrieval, with no analysis, benchmarking, or discussion of vector database technology or indexing methods.</t>
        </r>
      </text>
    </comment>
    <comment ref="J14" authorId="0" shapeId="0" xr:uid="{7A048734-A365-476D-994C-68102B510498}">
      <text>
        <r>
          <rPr>
            <sz val="9"/>
            <color indexed="81"/>
            <rFont val="Segoe UI"/>
            <family val="2"/>
          </rPr>
          <t>Development of a Retrieval-Augmented Generation (RAG) framework (MindMatrix) for multi-class mental health risk assessment that combines semantic retrieval with Large Language Models to produce explainable, evidence-based assessments across multiple psychological conditions.</t>
        </r>
      </text>
    </comment>
    <comment ref="K14" authorId="0" shapeId="0" xr:uid="{01ED1E74-EA5E-40B7-9EC6-B38F8C64EF35}">
      <text>
        <r>
          <rPr>
            <sz val="9"/>
            <color indexed="81"/>
            <rFont val="Segoe UI"/>
            <family val="2"/>
          </rPr>
          <t>The framework transforms user narratives into Sentence-BERT embeddings, stores them in a ChromaDB vector database, retrieves semantically similar narratives from a knowledge base, and feeds the retrieved context to the LLaMA 3.1 language model to generate structured mental health assessments with confidence scores, risk levels, and explanations, presented via a Streamlit dashboard.</t>
        </r>
      </text>
    </comment>
    <comment ref="L14" authorId="0" shapeId="0" xr:uid="{2600D047-513E-4DA9-8E4A-7FCAA96621E5}">
      <text>
        <r>
          <rPr>
            <sz val="9"/>
            <color indexed="81"/>
            <rFont val="Segoe UI"/>
            <family val="2"/>
          </rPr>
          <t>ChromaDB; LLaMA 3.1; Sentence-BERT; Streamlit; BERT</t>
        </r>
      </text>
    </comment>
    <comment ref="N14" authorId="0" shapeId="0" xr:uid="{43AA32B6-AE7E-4E79-8CC9-9EB8CF7D9D64}">
      <text>
        <r>
          <rPr>
            <sz val="9"/>
            <color indexed="81"/>
            <rFont val="Segoe UI"/>
            <family val="2"/>
          </rPr>
          <t>Mental health risk assessment and clinical psychology (multi-class: Depression, Anxiety, Stress, Bipolar Disorder, Personality Disorder, Suicidal Ideation, Normal behavior)</t>
        </r>
      </text>
    </comment>
    <comment ref="O14" authorId="0" shapeId="0" xr:uid="{0E388535-B9F4-4783-A062-8211E4D4525A}">
      <text>
        <r>
          <rPr>
            <sz val="9"/>
            <color indexed="81"/>
            <rFont val="Segoe UI"/>
            <family val="2"/>
          </rPr>
          <t>The MindMatrix framework was evaluated on a mental health dataset containing narratives associated with multiple psychological conditions. Experimental observations showed that semantic retrieval improved contextual understanding and enhanced the quality of generated assessments by providing relevant evidence to the language model. The use of Sentence-BERT embeddings enabled effective similarity search, while ChromaDB facilitated retrieval operations and LLaMA 3.1 generated detailed assessment reports. The Streamlit dashboard improved usability by presenting results interactively. Overall, the integration of semantic retrieval with language generation improved transparency and enabled evidence-based, explainable assessment compared to standalone LLM approaches.</t>
        </r>
      </text>
    </comment>
    <comment ref="P14" authorId="0" shapeId="0" xr:uid="{CC55F628-013E-4CCF-B61C-26E376AA92B4}">
      <text>
        <r>
          <rPr>
            <sz val="9"/>
            <color indexed="81"/>
            <rFont val="Segoe UI"/>
            <family val="2"/>
          </rPr>
          <t>Quality of generated assessments depends on the diversity and quality of the stored mental health narratives; The system only processes textual information and does not incorporate speech, facial expressions, or physiological signals; The framework should be considered a supportive assessment tool rather than a replacement for professional mental health diagnosis</t>
        </r>
      </text>
    </comment>
    <comment ref="Q14" authorId="0" shapeId="0" xr:uid="{C33963A6-5402-4808-A35A-0E2753CE1F95}">
      <text>
        <r>
          <rPr>
            <sz val="9"/>
            <color indexed="81"/>
            <rFont val="Segoe UI"/>
            <family val="2"/>
          </rPr>
          <t>Many existing mental health assessment systems focus solely on classification tasks and provide limited explanations for predictions; Traditional approaches often support only a small number of mental health categories and lack comprehensive multi-class assessment capabilities; Standalone language models may generate responses without incorporating relevant contextual evidence; Many existing systems do not provide transparent and explainable outputs that help users understand the reasoning behind generated assessments</t>
        </r>
      </text>
    </comment>
    <comment ref="H15" authorId="0" shapeId="0" xr:uid="{DE3C97FA-DFAE-4D31-AA43-1525BDDB93E9}">
      <text>
        <r>
          <rPr>
            <sz val="9"/>
            <color indexed="81"/>
            <rFont val="Segoe UI"/>
            <family val="2"/>
          </rPr>
          <t>Multi-strategy RAG for Disease Comorbidity Prediction</t>
        </r>
      </text>
    </comment>
    <comment ref="I15" authorId="0" shapeId="0" xr:uid="{DB015974-C76A-427C-BC59-3090436E5DE3}">
      <text>
        <r>
          <rPr>
            <sz val="9"/>
            <color indexed="81"/>
            <rFont val="Segoe UI"/>
            <family val="2"/>
          </rPr>
          <t>The vector database is mentioned only as a component ('dynamic vector database') within the RAG retrieval pipeline; no specific vector database systems, indexing methods, or comparative analyses of vector search technology are discussed. The paper's main subject is disease comorbidity prediction using LLMs and RAG.</t>
        </r>
      </text>
    </comment>
    <comment ref="J15" authorId="0" shapeId="0" xr:uid="{39543435-31BB-4248-AE8F-25EE8D04954A}">
      <text>
        <r>
          <rPr>
            <sz val="9"/>
            <color indexed="81"/>
            <rFont val="Segoe UI"/>
            <family val="2"/>
          </rPr>
          <t>Disease comorbidity prediction by integrating multi-strategy retrieval-augmented generation (RAG) with graph-structure information and LLM-based reasoning to overcome limitations of fixed chunking, single-metric structural extraction, and error-prone Chain-of-Thought prompting.</t>
        </r>
      </text>
    </comment>
    <comment ref="K15" authorId="0" shapeId="0" xr:uid="{DF95E805-3039-4CC8-B14F-8108D9C330EF}">
      <text>
        <r>
          <rPr>
            <sz val="9"/>
            <color indexed="81"/>
            <rFont val="Segoe UI"/>
            <family val="2"/>
          </rPr>
          <t>A multi-strategy RAG framework (MS-RAG) combining a dual-track retrieval mechanism built on a dynamic vector database, a multi-stage Chain-of-Thought strategy, a multi-metric heuristic using graph-theoretic features, and a dynamic selection mechanism that adaptively fuses structural and semantic signals.</t>
        </r>
      </text>
    </comment>
    <comment ref="N15" authorId="0" shapeId="0" xr:uid="{5E284681-F26E-4B28-A748-D8E28D92CDF0}">
      <text>
        <r>
          <rPr>
            <sz val="9"/>
            <color indexed="81"/>
            <rFont val="Segoe UI"/>
            <family val="2"/>
          </rPr>
          <t>Disease comorbidity prediction and biomedical knowledge reasoning over disease-symptom networks</t>
        </r>
      </text>
    </comment>
    <comment ref="O15" authorId="0" shapeId="0" xr:uid="{44470FC4-12DC-48DE-B972-CA7F59470A72}">
      <text>
        <r>
          <rPr>
            <sz val="9"/>
            <color indexed="81"/>
            <rFont val="Segoe UI"/>
            <family val="2"/>
          </rPr>
          <t>The proposed MS-RAG framework was evaluated on HDN and HSDN datasets for link prediction tasks, achieving AUC improvements of 10.41% and 5.88%, AP improvements of 9.70% and 5.10%, and F1-score improvements of 8.37% and 3.65% over state-of-the-art baselines. Empirical case studies validated the model's ability to identify clinically relevant biomedical pathways such as chronic-inflammation cascades and electrolyte-imbalance mechanisms. Comparative evaluation across LLM backbones (GPT-4o-mini, Qwen3plus, Llama3, DeepSeek-R1) showed the framework's robustness and cost-effectiveness. Ablation and zero-shot/few-shot experiments further confirmed the model's generalizability and interpretability.</t>
        </r>
      </text>
    </comment>
    <comment ref="P15" authorId="0" shapeId="0" xr:uid="{3262D549-A2A9-4909-8F74-DB4900C58A82}">
      <text>
        <r>
          <rPr>
            <sz val="9"/>
            <color indexed="81"/>
            <rFont val="Segoe UI"/>
            <family val="2"/>
          </rPr>
          <t>Current RAG implementations compromise semantic coherence by relying on fixed chunking strategies; Structural information for disease networks is generally extracted using a single metric regardless of complex biological mechanisms; Conventional Chain-of-Thought prompts are susceptible to error propagation due to dependence on coarse-grained entity extraction; The model's complexity needs to be reduced while maintaining disease comorbidity prediction performance</t>
        </r>
      </text>
    </comment>
    <comment ref="Q15" authorId="0" shapeId="0" xr:uid="{5F43EF24-09FC-4FD2-85C3-F7AC529B0A2C}">
      <text>
        <r>
          <rPr>
            <sz val="9"/>
            <color indexed="81"/>
            <rFont val="Segoe UI"/>
            <family val="2"/>
          </rPr>
          <t>Reducing the complexity of the model while maintaining disease comorbidity prediction performance</t>
        </r>
      </text>
    </comment>
  </commentList>
</comments>
</file>

<file path=xl/sharedStrings.xml><?xml version="1.0" encoding="utf-8"?>
<sst xmlns="http://schemas.openxmlformats.org/spreadsheetml/2006/main" count="777" uniqueCount="566">
  <si>
    <t>work_id</t>
  </si>
  <si>
    <t>openalex_link</t>
  </si>
  <si>
    <t>pdf_link</t>
  </si>
  <si>
    <t>open_access</t>
  </si>
  <si>
    <t>cite</t>
  </si>
  <si>
    <t>publication_date</t>
  </si>
  <si>
    <t>relevance</t>
  </si>
  <si>
    <t>title</t>
  </si>
  <si>
    <t>relevance_reason</t>
  </si>
  <si>
    <t>research_focus</t>
  </si>
  <si>
    <t>method</t>
  </si>
  <si>
    <t>mentioned_systems</t>
  </si>
  <si>
    <t>indexing_methods</t>
  </si>
  <si>
    <t>application_domain</t>
  </si>
  <si>
    <t>results_summary</t>
  </si>
  <si>
    <t>limitations</t>
  </si>
  <si>
    <t>research_gaps</t>
  </si>
  <si>
    <t>done</t>
  </si>
  <si>
    <t>W4409825362</t>
  </si>
  <si>
    <t>https://openalex.org/works/W4409825362</t>
  </si>
  <si>
    <t>C:\Users\Dominik\Documents\arm\pdf\open_access\W4409825362.pdf</t>
  </si>
  <si>
    <t>True</t>
  </si>
  <si>
    <t>2025-04-25</t>
  </si>
  <si>
    <t>low</t>
  </si>
  <si>
    <t>Large language models for intelligent RDF knowledge graph construction: results from medical ontology mapping</t>
  </si>
  <si>
    <t>The paper is primarily about LLM-based medical ontology mapping and RDF knowledge graph construction; ChromaDB vector database is mentioned only as a retrieval tool within the pipeline, with no analysis, comparison, or discussion of vector database technology itself.</t>
  </si>
  <si>
    <t>Comparative evaluation of six systems (five LLMs and one BERT-based method) for automated medical ontology mapping to SNOMED CT and RDF knowledge graph construction, using a combined quantitative and qualitative evaluation framework.</t>
  </si>
  <si>
    <t>A data preprocessing pipeline (terminology normalization, abbreviation expansion, unit standardization) combined with an LLM-powered semantic mapping engine. A ChromaDB vector database populated with pre-computed BioBERT embeddings is used for efficient concept retrieval via cosine similarity. Six systems are compared using precision, recall, F-score, confusion matrix analysis, and qualitative expert assessment on a dataset of 108 medical terms.</t>
  </si>
  <si>
    <t>ChromaDB; GPT-4o; Claude 3.5 Sonnet v2; Gemini 1.5 Pro; Llama 3.3 70B; DeepSeek R1; BERTMap; BioBERT</t>
  </si>
  <si>
    <t>Medical ontology mapping (SNOMED CT), RDF knowledge graph construction in healthcare</t>
  </si>
  <si>
    <t>The paper evaluated six systems for mapping 108 medical terms to the SNOMED CT ontology. GPT-4o achieved the highest performance with 93.75% precision, 98.90% recall, and 96.26% F-score, substantially outperforming all other systems. Gemini 1.5 Pro (F1 63.31%) and Claude 3.5 Sonnet v2 (F1 60.56%) ranked second and third, while Llama 3.3 70B (F1 30.16%) and DeepSeek R1 (F1 28.81%) showed the weakest performance. A chi-square test confirmed statistically significant differences between methods (p &lt; 0.001, Cramer's V = 0.32). Error analysis showed that all systems struggled with complex quantitative measurements and multi-parameter clinical assessments, with GPT-4o's few errors concentrated in these areas.</t>
  </si>
  <si>
    <t>Performance variability depends on training data quality and coverage, with rare or highly specialized concepts presenting challenges for all methods; The need for domain expert validation remains, particularly for critical applications; GPT-4o's high computational demands and cost may limit its feasibility for certain applications; The dataset of 108 medical terms, while expert-validated, is limited in size and may not fully capture generalizability; Complex quantitative measurements and multi-parameter clinical assessments remain challenging even for the best-performing system</t>
  </si>
  <si>
    <t>Develop more efficient architectures that can match GPT-4o's performance while requiring fewer computational resources; Expand evaluation with a larger dataset covering more medical subfields and data formats to test scalability and adaptability; Explore models' performance with datasets involving more diverse relationships, temporal data, and hierarchical structures; Investigate hybrid approaches that combine symbolic reasoning with machine learning; Evaluate performance of different LLMs in niche areas of medical terminology mapping, especially in contexts with limited computational resources</t>
  </si>
  <si>
    <t>False</t>
  </si>
  <si>
    <t>W4396792104</t>
  </si>
  <si>
    <t>W2077793746</t>
  </si>
  <si>
    <t>W4409147094</t>
  </si>
  <si>
    <t>W4396655358</t>
  </si>
  <si>
    <t>W4402308794</t>
  </si>
  <si>
    <t>W4405963353</t>
  </si>
  <si>
    <t>W4412899694</t>
  </si>
  <si>
    <t>W4255000078</t>
  </si>
  <si>
    <t>W4414475265</t>
  </si>
  <si>
    <t>W4415031233</t>
  </si>
  <si>
    <t>W4413078261</t>
  </si>
  <si>
    <t>W4403276519</t>
  </si>
  <si>
    <t>W4411350044</t>
  </si>
  <si>
    <t>W4411105389</t>
  </si>
  <si>
    <t>W4403153405</t>
  </si>
  <si>
    <t>W4398251864</t>
  </si>
  <si>
    <t>W4415352366</t>
  </si>
  <si>
    <t>W4415425340</t>
  </si>
  <si>
    <t>W4416296392</t>
  </si>
  <si>
    <t>W4413563495</t>
  </si>
  <si>
    <t>W7123361798</t>
  </si>
  <si>
    <t>W7162015458</t>
  </si>
  <si>
    <t>W7168442217</t>
  </si>
  <si>
    <t>W7164495097</t>
  </si>
  <si>
    <t>W7169727378</t>
  </si>
  <si>
    <t>W4392631937</t>
  </si>
  <si>
    <t>W4411870291</t>
  </si>
  <si>
    <t>W7167919148</t>
  </si>
  <si>
    <t>https://openalex.org/works/W4396792104</t>
  </si>
  <si>
    <t>https://openalex.org/works/W2077793746</t>
  </si>
  <si>
    <t>https://openalex.org/works/W4409147094</t>
  </si>
  <si>
    <t>https://openalex.org/works/W4396655358</t>
  </si>
  <si>
    <t>https://openalex.org/works/W4402308794</t>
  </si>
  <si>
    <t>https://openalex.org/works/W4405963353</t>
  </si>
  <si>
    <t>https://openalex.org/works/W4412899694</t>
  </si>
  <si>
    <t>https://openalex.org/works/W4255000078</t>
  </si>
  <si>
    <t>https://openalex.org/works/W4414475265</t>
  </si>
  <si>
    <t>https://openalex.org/works/W4415031233</t>
  </si>
  <si>
    <t>https://openalex.org/works/W4413078261</t>
  </si>
  <si>
    <t>https://openalex.org/works/W4403276519</t>
  </si>
  <si>
    <t>https://openalex.org/works/W4411350044</t>
  </si>
  <si>
    <t>https://openalex.org/works/W4411105389</t>
  </si>
  <si>
    <t>https://openalex.org/works/W4403153405</t>
  </si>
  <si>
    <t>https://openalex.org/works/W4398251864</t>
  </si>
  <si>
    <t>https://openalex.org/works/W4415352366</t>
  </si>
  <si>
    <t>https://openalex.org/works/W4415425340</t>
  </si>
  <si>
    <t>https://openalex.org/works/W4416296392</t>
  </si>
  <si>
    <t>https://openalex.org/works/W4413563495</t>
  </si>
  <si>
    <t>https://openalex.org/works/W7123361798</t>
  </si>
  <si>
    <t>https://openalex.org/works/W7162015458</t>
  </si>
  <si>
    <t>https://openalex.org/works/W7168442217</t>
  </si>
  <si>
    <t>https://openalex.org/works/W7164495097</t>
  </si>
  <si>
    <t>https://openalex.org/works/W7169727378</t>
  </si>
  <si>
    <t>https://openalex.org/works/W4392631937</t>
  </si>
  <si>
    <t>https://openalex.org/works/W4411870291</t>
  </si>
  <si>
    <t>https://openalex.org/works/W7167919148</t>
  </si>
  <si>
    <t>C:\Users\Dominik\Documents\arm\pdf\open_access\W4396792104.pdf</t>
  </si>
  <si>
    <t>C:\Users\Dominik\Documents\arm\pdf\open_access\W2077793746.pdf</t>
  </si>
  <si>
    <t>C:\Users\Dominik\Documents\arm\pdf\open_access\W4409147094.pdf</t>
  </si>
  <si>
    <t>C:\Users\Dominik\Documents\arm\pdf\open_access\W4396655358.pdf</t>
  </si>
  <si>
    <t>C:\Users\Dominik\Documents\arm\pdf\not_open_access\W4402308794.pdf</t>
  </si>
  <si>
    <t>C:\Users\Dominik\Documents\arm\pdf\open_access\W4405963353.pdf</t>
  </si>
  <si>
    <t>C:\Users\Dominik\Documents\arm\pdf\open_access\W4412899694.pdf</t>
  </si>
  <si>
    <t>C:\Users\Dominik\Documents\arm\pdf\open_access\W4255000078.pdf</t>
  </si>
  <si>
    <t>C:\Users\Dominik\Documents\arm\pdf\open_access\W4414475265.pdf</t>
  </si>
  <si>
    <t>C:\Users\Dominik\Documents\arm\pdf\open_access\W4415031233.pdf</t>
  </si>
  <si>
    <t>C:\Users\Dominik\Documents\arm\pdf\open_access\W4413078261.pdf</t>
  </si>
  <si>
    <t>C:\Users\Dominik\Documents\arm\pdf\open_access\W4403276519.pdf</t>
  </si>
  <si>
    <t>C:\Users\Dominik\Documents\arm\pdf\open_access\W4411350044.pdf</t>
  </si>
  <si>
    <t>C:\Users\Dominik\Documents\arm\pdf\open_access\W4411105389.pdf</t>
  </si>
  <si>
    <t>C:\Users\Dominik\Documents\arm\pdf\open_access\W4403153405.pdf</t>
  </si>
  <si>
    <t>C:\Users\Dominik\Documents\arm\pdf\open_access\W4398251864.pdf</t>
  </si>
  <si>
    <t>C:\Users\Dominik\Documents\arm\pdf\open_access\W4415352366.pdf</t>
  </si>
  <si>
    <t>C:\Users\Dominik\Documents\arm\pdf\open_access\W4415425340.pdf</t>
  </si>
  <si>
    <t>C:\Users\Dominik\Documents\arm\pdf\open_access\W4416296392.pdf</t>
  </si>
  <si>
    <t>C:\Users\Dominik\Documents\arm\pdf\open_access\W4413563495.pdf</t>
  </si>
  <si>
    <t>C:\Users\Dominik\Documents\arm\pdf\open_access\W7123361798.pdf</t>
  </si>
  <si>
    <t>C:\Users\Dominik\Documents\arm\pdf\open_access\W7162015458.pdf</t>
  </si>
  <si>
    <t>C:\Users\Dominik\Documents\arm\pdf\open_access\W7168442217.pdf</t>
  </si>
  <si>
    <t>C:\Users\Dominik\Documents\arm\pdf\open_access\W7164495097.pdf</t>
  </si>
  <si>
    <t>C:\Users\Dominik\Documents\arm\pdf\open_access\W7169727378.pdf</t>
  </si>
  <si>
    <t>C:\Users\Dominik\Documents\arm\pdf\not_open_access\W4392631937.pdf</t>
  </si>
  <si>
    <t>C:\Users\Dominik\Documents\arm\pdf\not_open_access\W4411870291.pdf</t>
  </si>
  <si>
    <t>C:\Users\Dominik\Documents\arm\pdf\not_open_access\W7167919148.pdf</t>
  </si>
  <si>
    <t>2024-05-10</t>
  </si>
  <si>
    <t>2013-11-01</t>
  </si>
  <si>
    <t>2025-04-03</t>
  </si>
  <si>
    <t>2024-05-01</t>
  </si>
  <si>
    <t>2024-09-06</t>
  </si>
  <si>
    <t>2024-12-18</t>
  </si>
  <si>
    <t>2025-07-29</t>
  </si>
  <si>
    <t>2019-12-14</t>
  </si>
  <si>
    <t>2025-09-24</t>
  </si>
  <si>
    <t>2025-10-01</t>
  </si>
  <si>
    <t>2025-07-17</t>
  </si>
  <si>
    <t>2024-01-01</t>
  </si>
  <si>
    <t>2025-06-12</t>
  </si>
  <si>
    <t>2025-01-01</t>
  </si>
  <si>
    <t>2024-10-01</t>
  </si>
  <si>
    <t>2025-10-11</t>
  </si>
  <si>
    <t>2024-11-30</t>
  </si>
  <si>
    <t>2026-01-01</t>
  </si>
  <si>
    <t>2026-05-21</t>
  </si>
  <si>
    <t>2026-06-12</t>
  </si>
  <si>
    <t>2026-07-19</t>
  </si>
  <si>
    <t>2024-03-01</t>
  </si>
  <si>
    <t>2024-12-01</t>
  </si>
  <si>
    <t>2026-07-01</t>
  </si>
  <si>
    <t>Utilizing Large Language Models for Enhanced Clinical Trial Matching: A Study on Automation in Patient Screening</t>
  </si>
  <si>
    <t>AN INTEGRATED FRAMEWORK BASED ON TEXTURE FEATURES, CUCKOO SEARCH AND RELEVANCE VECTOR MACHINE FOR MEDICAL IMAGE RETRIEVAL SYSTEM</t>
  </si>
  <si>
    <t>Thyro-GenAI: A Chatbot Using Retrieval-Augmented Generative Models for Personalized Thyroid Disease Management</t>
  </si>
  <si>
    <t>A novel approach for identification of zoonotic trypanosome utilizing deep metric learning and vector database-based image retrieval system</t>
  </si>
  <si>
    <t>Enhancing healthcare with intelligent environments: Integrating medical knowledge into GPT for advanced medical personal chatbots</t>
  </si>
  <si>
    <t>DermAI: An Innovative AI-Driven Chatbot for Enhanced Dermatological Diagnosis and Patient Interaction</t>
  </si>
  <si>
    <t>Evaluating a Nationally Localized AI Chatbot for Personalized Primary Care Guidance: Insights from the HomeDOCtor Deployment in Slovenia</t>
  </si>
  <si>
    <t>An Insight Framework for Content based Medical Image Retrieval using Deep Convolutional Neural Network</t>
  </si>
  <si>
    <t>RAGMed: A RAG-Based Medical AI Assistant for Improving Healthcare Delivery</t>
  </si>
  <si>
    <t>Automating candidate gene prioritization with large language models: from naive scoring to literature-grounded validation</t>
  </si>
  <si>
    <t>Context-Aware Retrieval-Augmented Generation for Artificial Intelligence in Urology</t>
  </si>
  <si>
    <t>DrugRepoChatter: A Drug Repurposing Expert Chatbot Curated by the REPO4EU Consortium</t>
  </si>
  <si>
    <t>MEDILINK</t>
  </si>
  <si>
    <t>Leveraging Vector Databases for AI-Driven Semantic Search in Healthcare</t>
  </si>
  <si>
    <t>7064 The Newest LLMs: Can They Help Patients With Diabetic Macular Edema?</t>
  </si>
  <si>
    <t>#1506 Uremic toxicity: gaining novel insights through AI-driven literature review</t>
  </si>
  <si>
    <t>AI-Driven Chatbot for Mental Health Analysis Using Transformer Models</t>
  </si>
  <si>
    <t>#1880 Novel ai-based recipe recommendation system for dialysis patients using retrieval-augmented generation</t>
  </si>
  <si>
    <t>Right Diagnoses with the Wrong Justification: Limitations of Current Large-Language Models for Screening of Rheumatoid Arthritis</t>
  </si>
  <si>
    <t>Integrating Generative AI in Youth Mental Healthcare Solutions</t>
  </si>
  <si>
    <t>CARMINA: optimizing low-parameter language models for high-quality cardiovascular research assistance</t>
  </si>
  <si>
    <t>Japanese-Language AI Agent System for Human Papillomavirus Vaccine Infoveillance and Public Communication: Development and Feasibility Evaluation</t>
  </si>
  <si>
    <t>Previsit AI: A Retrieval-Augmented Generation for Patient Readiness in Clinical Encounters</t>
  </si>
  <si>
    <t>Development and Multireader Evaluation of Radiological RAG-System</t>
  </si>
  <si>
    <t>Generating Personalized MRI Reports from Key Phrases with Multiple LLM Agents and RAG Technique</t>
  </si>
  <si>
    <t>680 Is there a way to optimize the performance of preoperative diagnosis of patients with endometrial cancer on imaging? The artificial intelligence response</t>
  </si>
  <si>
    <t>Vector databases in healthcare: Case Studies on Improving User Interaction</t>
  </si>
  <si>
    <t>595 PRS-GPT Version1.0: Design and Implementation of a Open Access Specialty-Specific LLM</t>
  </si>
  <si>
    <t>The vector database is mentioned only in passing as a retrieval tool for selecting relevant document sections before LLM processing; the paper does not examine, compare, or analyze vector database technology, indexing methods, or similarity search in any depth.</t>
  </si>
  <si>
    <t>The paper is primarily about medical image retrieval using feature extraction, selection, and classification; the term 'feature vector database' refers only to a storage concept for feature vectors, not to vector database systems or their core indexing/similarity search technology.</t>
  </si>
  <si>
    <t>The paper is primarily a medical AI application study about a thyroid disease chatbot; the vector database is only mentioned as a component of the RAG pipeline for storing embeddings, with no discussion of specific vector database systems, indexing methods, or similarity search technology.</t>
  </si>
  <si>
    <t>The paper is primarily a medical diagnostic application that uses a vector database and KNN as a retrieval tool within its image classification pipeline; it does not propose, analyze, benchmark, or improve vector database technology itself.</t>
  </si>
  <si>
    <t>The paper is primarily about a medical chatbot application integrating GPT-4 with a healthcare platform; vector databases are mentioned only in passing as a retrieval mechanism without any technical discussion of their architecture, indexing, performance, or comparison.</t>
  </si>
  <si>
    <t>The paper is primarily about an AI chatbot for dermatological diagnosis; AstraDB vector database is mentioned only as one component of the RAG pipeline without any in-depth discussion of vector indexing, similarity search algorithms, or database architecture.</t>
  </si>
  <si>
    <t>The paper is primarily about evaluating a healthcare AI chatbot's diagnostic performance and clinical utility; the Redis-based vector database is mentioned only as a component of the RAG architecture without any in-depth discussion of vector indexing, similarity search, or vector database technology.</t>
  </si>
  <si>
    <t>The paper is primarily about medical image retrieval using DCNN features and DICOM metadata; a 'feature vector database' is mentioned only as a storage mechanism for feature vectors, with no discussion of vector database technology, indexing methods, or system comparisons.</t>
  </si>
  <si>
    <t>The paper is primarily a medical AI application (RAG-based assistant) where a vector database is used as a retrieval component within the RAG pipeline; it does not propose, analyze, benchmark, or survey vector databases or their core indexing technology as its subject.</t>
  </si>
  <si>
    <t>The paper is about LLM-based gene prioritization in sepsis research, using RAG as an application-level technique; no vector database, vector indexing method, or nearest-neighbor search technology is named, discussed, or analyzed anywhere in the text.</t>
  </si>
  <si>
    <t>The paper is primarily about a RAG pipeline for urology; the Pinecone vector database is used only as a storage and retrieval component within the system and is neither analyzed, compared, nor improved upon as a subject of study.</t>
  </si>
  <si>
    <t>The paper is primarily about a drug repurposing chatbot application; vector databases are used only as an underlying storage and retrieval component without any analysis, comparison, or discussion of vector database technology, indexing methods, or system design.</t>
  </si>
  <si>
    <t>The paper is entirely about a healthcare platform; 'Vectordb' appears only once as a single word in a technology stack list with no discussion of vector database technology, indexing, or similarity search.</t>
  </si>
  <si>
    <t>The paper is primarily a healthcare application case study; the vector database (Pinecone) is used as an enabling tool within the architecture but is not examined, compared, benchmarked, or analyzed in depth regarding its core technology.</t>
  </si>
  <si>
    <t>Vector databases are mentioned only in a single passing sentence as a component of RAG architecture; the paper's actual subject is LLM evaluation for medical information accuracy, with no discussion, comparison, or analysis of vector database technology.</t>
  </si>
  <si>
    <t>The vector database is only a minor component of the RAG pipeline used as a tool for a medical literature review; the paper does not propose, analyze, benchmark, or discuss vector database technology or indexing methods in any depth.</t>
  </si>
  <si>
    <t>FAISS is mentioned only as a storage component chosen over MongoDB, with no analysis, comparison, or discussion of vector indexing methods or similarity search performance. The paper's main subject is a mental health chatbot application, not vector databases.</t>
  </si>
  <si>
    <t>The paper is primarily about a medical nutrition application (recipe recommendation for dialysis patients) using a RAG pipeline. The vector database (FAISS) is used only as a retrieval tool within the pipeline and is not examined, compared, or analyzed in any depth.</t>
  </si>
  <si>
    <t>The paper is primarily about evaluating LLMs for rheumatoid arthritis screening; the Neo4j vector database is only mentioned in passing as a component enabling embedding-based retrieval in a RAG pipeline and is not examined, compared, or analyzed in any depth.</t>
  </si>
  <si>
    <t>The paper is entirely about a medical ML classification model (Random Forest) for COPD diagnosis; vector databases, vector indexing, or similarity search are not mentioned or addressed in any way.</t>
  </si>
  <si>
    <t>The paper is primarily about optimizing small LLMs and RAG architecture for a biomedical application; the MongoDB vector database is used only as a retrieval component within the RAG pipeline without any in-depth discussion, comparison, or analysis of vector database technology or indexing methods.</t>
  </si>
  <si>
    <t>The vector database is mentioned only as one of three system components used for semantic search over documents; the paper does not propose, analyze, benchmark, or discuss vector database technology, indexing methods, or similarity search algorithms in any depth.</t>
  </si>
  <si>
    <t>The paper is primarily a healthcare application study on patient pre-visit preparation; Chroma (a vector database) is used merely as a retrieval component within the RAG pipeline, and the retrieval configuration experiments serve the application rather than analyzing vector database technology itself.</t>
  </si>
  <si>
    <t>The paper is primarily about developing and evaluating a RAG system for radiology; the vector database is mentioned only as one component of the pipeline (a 'two-level parent-child vector database') without any in-depth analysis, comparison of systems, or discussion of indexing technology.</t>
  </si>
  <si>
    <t>The paper is primarily about LLM-based personalized MRI report generation in radiology; the vector database is used only as a retrieval component within the RAG pipeline and is not examined, compared, or analyzed in any depth.</t>
  </si>
  <si>
    <t>The paper is primarily about endometrial cancer treatment, diagnosis, and immunology; a vector database is mentioned only once in passing as a component of a deep learning pipeline for medical image candidate retrieval, with no analysis, comparison, or discussion of vector database technology itself.</t>
  </si>
  <si>
    <t>The paper is primarily a healthcare application study that uses vector databases as a tool for data retrieval and semantic search; it does not propose, analyze, benchmark, or compare vector database systems or their core indexing technology, and no specific systems or indexing methods are discussed.</t>
  </si>
  <si>
    <t>The paper is primarily a medical AI application describing a plastic surgery RAG system; Pinecone vector database is mentioned only once as a storage component of the pipeline, with no discussion of its indexing technology, performance characteristics, or comparison with other vector databases.</t>
  </si>
  <si>
    <t>Automated clinical trial eligibility screening using large language models (GPT-3.5 Turbo and GPT-4) to match patients to trials based on unstructured clinical notes, evaluated on the n2c2 2018 dataset.</t>
  </si>
  <si>
    <t>Content-based medical image retrieval (CBMIR) using an integrated framework combining texture feature extraction, feature selection, feature classification, and similarity measurement to address high feature dimensionality.</t>
  </si>
  <si>
    <t>Development and evaluation of a RAG-based chatbot (Thyro-GenAI) for personalized thyroid disease management, comparing its clinical reasoning output and reference quality against commercial LLMs (ChatGPT-4o, Perplexity, Claude 3.5 Sonnet).</t>
  </si>
  <si>
    <t>Development of a hybrid deep metric learning (DML) and vector database-based image retrieval system for automatic identification of zoonotic Trypanosoma species (T. cruzi, T. brucei, T. evansi) in microscopic thin-blood film images.</t>
  </si>
  <si>
    <t>Integrating a personal medical chatbot (ChatGPT/GPT-4o) with the Insieme e-health platform to create a national home doctor application (HomeDoctor) providing 24/7 medical information in a smart-city context.</t>
  </si>
  <si>
    <t>Developing DermAI, an AI-based chatbot for dermatological diagnosis that integrates ResNet-50 image classification with Retrieval-Augmented Generation (RAG) to provide accurate skin disease classification and personalized patient interaction, particularly for resource-limited regions.</t>
  </si>
  <si>
    <t>Evaluation of HomeDOCtor, a nationally localized AI chatbot for primary care guidance in Slovenia, assessing its diagnostic accuracy, contextual relevance, and practical viability compared to general-purpose LLMs in both international and national medical contexts.</t>
  </si>
  <si>
    <t>Content Based Image Retrieval (CBIR) for DICOM medical images using DCNN features and DICOM metadata to improve retrieval speed and accuracy across multiple modalities (CT, MRI, Ultrasound).</t>
  </si>
  <si>
    <t>Design and evaluation of RAGMed, a Retrieval-Augmented Generation-based medical AI assistant that automates patient FAQ answering, appointment scheduling, and clinical note summarization, with a comparative study of two embedding models (gte-large vs. all-MiniLM-L6-v2) on retrieval quality within a clinical workflow.</t>
  </si>
  <si>
    <t>Automating candidate gene prioritization in sepsis research using large language models with retrieval-augmented generation (RAG) and literature-grounded validation to reduce hallucination and ensure biological coherence.</t>
  </si>
  <si>
    <t>Designing and evaluating a context-aware retrieval-augmented generation (RAG) system tailored for the urology domain to reduce hallucinations and improve contextual relevance in AI-generated medical responses.</t>
  </si>
  <si>
    <t>Development of DrugRepoChatter, an LLM-powered chatbot using RAG and a vector database of 285 expert-curated open-access articles to help researchers efficiently access and navigate the drug repurposing literature.</t>
  </si>
  <si>
    <t>Description of Medilink, a digital healthcare platform that integrates prescription storage, a global prescription database, medication adherence reminders, an AI-based diagnostic tool (MED-GPT), and data quality tools for analysts into a single interface.</t>
  </si>
  <si>
    <t>A case implementation at a regional hospital group integrating a ChatGPT-based medical assistant with Pinecone's vector database and FHIR-based EHR systems to enable AI-driven semantic search for patient queries in healthcare.</t>
  </si>
  <si>
    <t>Evaluating four LLMs (Cohere Coral, Claude, ChatGPT, Bard) for their accuracy, readability, helpfulness, and specificity in providing treatment information for diabetic macular edema.</t>
  </si>
  <si>
    <t>Using a Retrieval-Augmented Generation (RAG) system to efficiently process and extract meaningful information from published literature on uremic toxins.</t>
  </si>
  <si>
    <t>Development of a mental wellness chatbot ('Mental Wellness Companion') using transformer models and FAISS to support individuals with depression symptoms, including sentiment analysis, conversation memory, and personalized interventions.</t>
  </si>
  <si>
    <t>Developing a RAG-based recipe recommendation system for dialysis patients that retrieves kidney-friendly recipes and generates personalized dietary recommendations using OpenAI's GPT-4o model.</t>
  </si>
  <si>
    <t>Evaluating LLM-based agentic AI frameworks (single-agent, RAG, dual-agent configurations) for screening rheumatoid arthritis, comparing diagnostic accuracy and quality of clinical reasoning across six LLMs.</t>
  </si>
  <si>
    <t>Developing a machine learning model based on physical tests and risk factors for accurate and cost-effective diagnosis of Chronic Obstructive Pulmonary Disease (COPD), as an alternative to imaging-based approaches.</t>
  </si>
  <si>
    <t>Developing and validating CARMINA, a specialized biomedical assistant for cardiovascular research that uses optimized small (≤7B parameter) open-source language models within a RAG pipeline to achieve reliable, hallucination-reduced research assistance in resource-constrained environments.</t>
  </si>
  <si>
    <t>Development and feasibility evaluation of a dual-purpose AI agent system that delivers verified HPV vaccine information to the Japanese public via a conversational interface while generating infoveillance reports for medical institutions based on user interactions and social media discourse.</t>
  </si>
  <si>
    <t>Developing and evaluating the feasibility of a Retrieval-Augmented Generation (RAG) conversational tool (PreVisit AI) to improve patient readiness and communication quality before primary care clinical encounters.</t>
  </si>
  <si>
    <t>Development and multireader evaluation of a retrieval-augmented generation (RAG) system for radiologists to provide grounded, hallucination-free responses to reference, regulatory, and methodological queries in routine radiological practice.</t>
  </si>
  <si>
    <t>Generating personalized MRI report findings sections from key phrases using multiple LLM agents connected via a graph-based architecture and a RAG technique that retrieves author-specific reports from a vector database.</t>
  </si>
  <si>
    <t>Endometrial cancer treatment, diagnosis, and related clinical research, including surgical approaches, MRI-based deep learning for myometrial invasion prediction, and immune cell infiltration in obese versus lean patients.</t>
  </si>
  <si>
    <t>The application of vector databases in healthcare settings, including semantic search in electronic health records, medical imaging case retrieval, conversational AI for patient engagement, and predictive analytics for chronic disease management.</t>
  </si>
  <si>
    <t>Development and preliminary testing of PRS-GPT, an open-access, specialty-specific retrieval-augmented LLM designed for plastic surgery education and clinical decision support.</t>
  </si>
  <si>
    <t>Medical documents are embedded into a vector database for relevant section retrieval, then LLMs (GPT-3.5 Turbo, GPT-4) are applied with structured JSON output and chain-of-thought prompting techniques, combined with manually created or LLM-generated expert guidance, to assess patient records against 13 eligibility criteria.</t>
  </si>
  <si>
    <t>Local Binary Patterns (LBP) for texture feature extraction, Fuzzy-based Cuckoo Search (FCKS) for feature selection, Fuzzy-based Relevance Vector Machine (FRVM) for classification, and Euclidean Distance for similarity measurement between query and database images.</t>
  </si>
  <si>
    <t>A RAG-based chatbot was built by converting thyroid textbooks and guidelines into embeddings stored in a vector database, then retrieving relevant passages to augment LLM queries. Three thyroid specialists evaluated response quality, reference quality, and hallucination rates across four chatbots using personalized clinical questions.</t>
  </si>
  <si>
    <t>A ResNet50 backbone neural network trained with Triplet Margin Loss for deep metric learning, combined with a KNN-based image retrieval process over a vector database of embedded feature vectors. YOLOv4-tiny object detection is integrated, and five-fold cross-validation is used for evaluation.</t>
  </si>
  <si>
    <t>Deploying ChatGPT within the Insieme platform's verified medical knowledge, using word embeddings and vector databases for efficient data retrieval and context-aware responses, evaluated via a Flutter-based prototype on computer and mobile platforms.</t>
  </si>
  <si>
    <t>Integration of ResNet-50 for skin disease image classification, LLM via Chainlit for conversational interface, RAG pipeline using AstraDB vector database and OpenAI embedding model for knowledge retrieval, and comparative analysis of five CNN models (ResNet-50, VGG-19, Inception-V3, MobileNet-V2, EfficientNet-B4) on a common skin diseases dataset.</t>
  </si>
  <si>
    <t>The system was tested using 100 international clinical vignettes from the Avey AI Benchmark Suite and 150 internal medicine exam questions from the University of Ljubljana. Pairwise statistical comparisons (two-proportion z-test with Bonferroni correction) were performed between HomeDOCtor variants and standalone LLMs. The system architecture combines RAG with a Redis-based vector database of curated national medical guidelines.</t>
  </si>
  <si>
    <t>DICOM tags are extracted to create a local metadata database for pre-filtering; DCNN features are used to build a feature vector database; a convolution-layer-based prediction model is constructed to retrieve images based on semantic information and metadata.</t>
  </si>
  <si>
    <t>A RAG pipeline combining a vector database (containing ~45,000 encoded doctor observations) with the LLM llama3-8b-8192. Two embedding models are compared using cosine similarity for top-5 retrieval, and outputs are evaluated via the RAG-Triad framework (context relevance, answer relevance, groundedness) on 18 real-world medical queries across three tasks: medical QA, appointment scheduling, and clinical note summarization.</t>
  </si>
  <si>
    <t>A three-stage pipeline: (i) naive LLM composite scoring of all genes, (ii) RAG-based filtering with dual-model faithfulness checks against 6,346 curated sepsis publications, and (iii) multi-dimensional optimization and Chain-of-Thought reasoning to refine surviving candidates.</t>
  </si>
  <si>
    <t>A RAG framework integrating PubMedBERT embeddings for encoding urological literature stored in a Pinecone vector database, named entity recognition for domain-specific query filtering, dynamic memory modules for conversational continuity, and LLaMA3-8B via LangChain for response generation, evaluated against baseline LLaMA models using Deepseek-R1-based scoring on 150 urology-specific queries.</t>
  </si>
  <si>
    <t>The system embeds text chunks from curated articles into a vector space using an LLM model, stores them in a vector database, and performs semantic similarity search to retrieve relevant passages for RAG-based answer generation. The curation process involved expert selection of high-quality open-access publications from the REPO4EU consortium.</t>
  </si>
  <si>
    <t>The paper presents the design and feature set of the Medilink platform, describing its components (digital prescription storage, global prescription database, reminder system, MED-GPT diagnostic tool, analyst tools) and its technology stack.</t>
  </si>
  <si>
    <t>Healthcare documentation (over 100,000 medical documents) was converted into high-dimensional vector embeddings using OpenAI's embedding model, stored in Pinecone, and queried via a ChatGPT-based assistant integrated with FHIR-based EHR systems, with HIPAA compliance ensured through anonymized tokenization.</t>
  </si>
  <si>
    <t>Two patient-style questions about diabetic macular edema treatment costs were posed to four LLMs, and responses were scored using a custom weighted scoring system (Readability 20%, Accuracy 40%, Helpfulness 30%, Specificity 10%).</t>
  </si>
  <si>
    <t>A RAG pipeline was set up: (1) a retrieval step where questions and documents are encoded into vectors and similarity measures find best matches, and (2) an augmented generation step where an LLM (ChatGPT) uses the retrieved documents to generate responses. Abstracts were collected from PubMed via Metapub.</t>
  </si>
  <si>
    <t>The system uses a pretrained Hugging Face transformer model accessed via API, FAISS as the vector database for knowledge storage, LangChain for language model orchestration, sentiment analysis via deep learning, and voice input/output for natural conversation.</t>
  </si>
  <si>
    <t>322 kidney-friendly recipes were structured, embedded using a pre-trained OpenAI model, and stored in a vector database. FAISS retrieves the 10 most relevant recipes by Euclidean distance to the query vector. Retrieved recipes are incorporated into a prompt for GPT-4o to generate tailored recommendations.</t>
  </si>
  <si>
    <t>Six LLMs were tested under three configurations (single-agent without knowledge base, single-agent with RAG, dual-agent diagnosis-validation flow) using a PreRAID dataset of 350 patient cases. A Neo4j vector database enabled embedding-based retrieval for the RAG setup. Accuracy was evaluated on 50 test cases and diagnostic reasoning was independently rated by two physicians on a four-point Likert scale.</t>
  </si>
  <si>
    <t>A Random Forest classifier was trained on an open dataset of 100 COPD patients using physical tests (MWT1, MWT2, MWT1Best, FEV1, FEV1PRED, FVC, FVCPRED, CAT, HAD, SGRQ) and risk factors (age, gender, smoking, diabetes, hypertension, heart problems).</t>
  </si>
  <si>
    <t>Construction of a RAG system coupling four small LLMs (llama3.1:7b, gemma2:2b, qwen2:7b, phi3:3.8b) with a MongoDB vector database of 650,000 PubMed cardiology abstracts and GTE-large embeddings, optimized via prompt engineering; benchmarked with ~250 questions from scientific abstracts and evaluated by an independent LLM for accuracy, completeness, reference quality, and clarity.</t>
  </si>
  <si>
    <t>Implementation of a three-component system: (1) a vector database integrating 139,803 documents from academic papers, government sources, news media, and social media; (2) a RAG-based chatbot using a ReAct agent architecture with iterative multitool orchestration across 5 specialized knowledge sources; and (3) an automated report generation system with modules for news analysis, research synthesis, sentiment analysis, stance classification, topic modeling, and user interaction pattern identification. Performance was assessed using automated LLM-based and manual expert evaluation protocols on a 0-to-5 scale.</t>
  </si>
  <si>
    <t>An NLP-based conversational RAG pipeline using Chroma as the vector index for retrieval and the Gemini API for generation, evaluated across nine retrieval configurations (varying chunk size and retrieval depth) with ROUGE-L, BERTScore, Precision@k, and Recall@k metrics on twenty synthetic question-reference pairs.</t>
  </si>
  <si>
    <t>A hierarchical RAG pipeline combining structured document parsing, a two-level parent-child vector database, hybrid dense-sparse retrieval, reranking, and a local LLM, evaluated through functional testing (77 queries), automated LLM-as-a-judge metrics, and multireader expert evaluation by 16 radiologists on 400 technical queries.</t>
  </si>
  <si>
    <t>A multi-agent LLM system with graph-based software architecture where a data retriever node fetches relevant reports from a vector database, a findings generation node produces the findings section (two variations: merging retrieved findings parts vs. reconstructing from retrieved paragraphs), and an impression generation node summarizes findings into an impression. Generation quality was evaluated with BLEU, ROUGE, BERTScore, and a five-point Likert scale clinical assessment analyzed via Mann-Whitney U test.</t>
  </si>
  <si>
    <t>Multiple approaches are presented: extraperitoneal laparoscopic lymphadenectomy, an end-to-end MRI-based deep learning pipeline with a Siamese network and a vector database for candidate retrieval, and immunohistochemical analysis of immune cell markers in endometrial biopsies.</t>
  </si>
  <si>
    <t>The paper presents case studies and a literature review (2015–2022) examining how vector databases are applied to healthcare data management, user interaction, and diagnostic support, discussing integration challenges and expected performance improvements.</t>
  </si>
  <si>
    <t>A corpus of over 60,000 open-access plastic surgery documents was embedded using OpenAI's embedding model and indexed in a Pinecone vector database. A RAG pipeline using GPT-4 generated citation-linked responses grounded in retrieved literature. Preliminary testing used 30 representative prompts across subspecialties to assess retrieval behaviour, citation inclusion, citation-claim fidelity, clarity, and safety guardrail performance.</t>
  </si>
  <si>
    <t>GPT-3.5 Turbo; GPT-4; Llama2</t>
  </si>
  <si>
    <t>Thyro-GenAI; ChatGPT-4o; Perplexity AI; Claude 3.5 Sonnet</t>
  </si>
  <si>
    <t>ChatGPT; GPT-4; GPT-4o; Insieme; HomeDoctor; Llama 2; Llama 3; Flutter</t>
  </si>
  <si>
    <t>AstraDB; Chainlit; OpenAI; ChatGPT-4o; Model Dermatol; Aysa by Visualdx</t>
  </si>
  <si>
    <t>Redis; ChatGPT-4o; ChatGPT o3 mini high; Gemini 2.5; Gemma 3; HomeDOCtor; Avey AI Benchmark Suite</t>
  </si>
  <si>
    <t>gte-large; all-MiniLM-L6-v2; llama3-8b-8192; RAG-Triad; MedDialog; NegEx</t>
  </si>
  <si>
    <t>Pinecone; LLaMA3-8B; LangChain; Deepseek-R1; PubMedBERT</t>
  </si>
  <si>
    <t>PubMed</t>
  </si>
  <si>
    <t>Vectordb</t>
  </si>
  <si>
    <t>Pinecone; ChatGPT; OpenAI embedding model</t>
  </si>
  <si>
    <t>ChatGPT; Metapub</t>
  </si>
  <si>
    <t>FAISS; Hugging Face; LangChain; MongoDB; OpenAI</t>
  </si>
  <si>
    <t>FAISS; GPT-4o; OpenAI</t>
  </si>
  <si>
    <t>Neo4j</t>
  </si>
  <si>
    <t>MongoDB; llama3.1:7b; gemma2:2b; qwen2:7b; phi3:3.8b; GTE-large</t>
  </si>
  <si>
    <t>Chroma; Supabase; Gemini API</t>
  </si>
  <si>
    <t>Pinecone; GPT-4; ChatGPT</t>
  </si>
  <si>
    <t>KNN</t>
  </si>
  <si>
    <t>cosine similarity</t>
  </si>
  <si>
    <t>parent-child chunking/indexing; hybrid dense-sparse retrieval</t>
  </si>
  <si>
    <t>Clinical trial patient screening and eligibility matching in medicine</t>
  </si>
  <si>
    <t>Medical image retrieval (Lung, Liver, Kidney, Brain images)</t>
  </si>
  <si>
    <t>Thyroid disease management and clinical decision support for frontline physicians</t>
  </si>
  <si>
    <t>Medical and veterinary parasitology – identification of Trypanosoma species in Giemsa-stained blood film microscopic images</t>
  </si>
  <si>
    <t>National healthcare and home medicine, specifically a 24/7 medical information chatbot for smart-city ecosystems in Slovenia</t>
  </si>
  <si>
    <t>Dermatology / skin disease diagnosis and patient interaction</t>
  </si>
  <si>
    <t>Primary care medical triage, diagnostic support, and self-care guidance in the Slovenian healthcare system</t>
  </si>
  <si>
    <t>Medical image retrieval (DICOM-based CT, MRI, and Ultrasound images across 22 anatomical classes)</t>
  </si>
  <si>
    <t>Medical question answering, appointment scheduling, and clinical note summarization in healthcare workflows</t>
  </si>
  <si>
    <t>Biomedical gene prioritization for sepsis research, specifically identifying therapeutic targets from transcriptomic data</t>
  </si>
  <si>
    <t>Urology / medical literature retrieval and clinical decision support</t>
  </si>
  <si>
    <t>Drug repurposing literature retrieval and biomedical research support</t>
  </si>
  <si>
    <t>Healthcare (prescription management, diagnostic support, medication adherence)</t>
  </si>
  <si>
    <t>Healthcare information retrieval, patient-facing semantic search, clinical documentation access</t>
  </si>
  <si>
    <t>Ophthalmology / diabetic macular edema patient education</t>
  </si>
  <si>
    <t>Medical literature review on uremic toxins</t>
  </si>
  <si>
    <t>Mental health support and depression symptom management</t>
  </si>
  <si>
    <t>Medical nutrition and dietary planning for dialysis patients</t>
  </si>
  <si>
    <t>Rheumatoid arthritis screening and diagnosis</t>
  </si>
  <si>
    <t>Medical diagnosis (COPD detection and early screening)</t>
  </si>
  <si>
    <t>Cardiovascular research / biomedical literature assistance</t>
  </si>
  <si>
    <t>Public health communication and social media infoveillance for HPV vaccine information in Japan</t>
  </si>
  <si>
    <t>Patient pre-visit preparation and patient-provider communication in primary care</t>
  </si>
  <si>
    <t>Radiology (reference, regulatory, and methodological documentation queries)</t>
  </si>
  <si>
    <t>Medical radiology – automated generation of MRI report findings and impression sections</t>
  </si>
  <si>
    <t>Medical imaging and oncology (endometrial cancer diagnosis and treatment)</t>
  </si>
  <si>
    <t>Healthcare: electronic health records, medical imaging, patient engagement, predictive analytics, and conversational AI</t>
  </si>
  <si>
    <t>Plastic surgery education and clinical decision support</t>
  </si>
  <si>
    <t>The paper evaluated GPT-3.5 Turbo and GPT-4 for zero-shot clinical trial eligibility screening on the n2c2 2018 dataset (202 patient records, 13 criteria). GPT-3.5 Turbo achieved an accuracy of 0.81 and micro F1 of 0.79, while GPT-4 achieved an accuracy of 0.87 and micro F1 of 0.86, with structured JSON output and manual expert guidance being the best-performing prompting format for both. The method reduced screening time from approximately 45 minutes per patient to 1-5 minutes. Results were competitive with prior rule-based and pattern-based methods from the original n2c2 challenge, while requiring significantly less manual effort and technical expertise.</t>
  </si>
  <si>
    <t>The paper proposes an integrated CBMIR framework that extracts LBP texture features, reduces dimensionality via FCKS, classifies features with FRVM, and measures similarity using Euclidean distance. The system was implemented on a database of 1000 gray-level medical images of human organs. The proposed FCKS-FRVM approach was experimentally compared against FPSO-FRVM and PSO-RVM methods. The authors report that the proposed system achieved high retrieval precision and recall compared to the two comparison methods.</t>
  </si>
  <si>
    <t>Thyro-GenAI achieved the highest inverse-weighted mean rank for overall response quality (3.0) and the second-highest for reference quality (3.1) among the four chatbots tested. The other LLMs were criticized for omitting critical information or including inaccurate details, while Thyro-GenAI's use of a vector database of curated textbooks and guidelines produced more reliable, evidence-based responses. Thyro-GenAI ranked second to Perplexity in reference relevance, attributed to the limited comprehensiveness and infrequent updates of its database. The study concludes that RAG-based chatbots can reduce hallucinations and support clinical decision-making, though further refinement of the underlying knowledge base is needed.</t>
  </si>
  <si>
    <t>The paper developed a DML model using ResNet50 with Triplet Margin Loss to embed microscopic blood film images into a low-dimensional feature space, then used KNN retrieval over a vector database for classification. The model achieved accuracy exceeding 99.71%, recall of 96%, and precision of 98% in discriminating three Trypanosoma species from other parasites and blood cells. Five-fold cross-validation confirmed robustness across dataset variations. The optimal number of feature vectors was found to be 256, yielding an average recall of 96.74% and F1 score of 96.64%. The approach demonstrated that DML-based image retrieval can outperform conventional classification for closely related biological classes.</t>
  </si>
  <si>
    <t>The paper presents a prototype system (HomeDoctor) that combines GPT-4o with the Insieme platform's local medical knowledge, using word embeddings and vector databases for data retrieval. Preliminary studies indicate high user satisfaction and positive healthcare impacts, demonstrating the system's ability to provide 24/7 online medical assistance. Local open-source models (Llama 2, Llama 3) were tested but proved less effective, highlighting the need for models trained in Slovenian. The platform supports multilingual interactions and country-specific knowledge, and the authors outline a roadmap for expanding the database, integrating local sensors, and conducting broader user studies.</t>
  </si>
  <si>
    <t>The paper developed DermAI, combining ResNet-50 image classification with a RAG-based conversational AI system. The model achieved 92.6% sensitivity, 99.8% specificity, and 99.9% AUC, with a misclassification rate of 2.17% and 100% validation accuracy on specific conditions such as melanoma, chickenpox, and shingles. In the comparative study, ResNet-50 outperformed VGG-19, Inception-V3, MobileNet-V2, and EfficientNet-B4. The hallucination score averaged 7%, well below the 50% threshold, indicating grounded responses. Rouge metrics for text summarization showed moderate performance, with Rouge-2 F1 of 36% and Rouge-L F1 of 50%, indicating room for improvement in sequence-level text generation.</t>
  </si>
  <si>
    <t>HomeDOCtor achieved 99/100 correct diagnoses on international clinical vignettes, matching or exceeding state-of-the-art commercial LLMs. On nationally contextualized medical exam questions, HomeDOCtor 4o significantly outperformed ChatGPT-4o (90.7% vs. 80.7%, p=0.0135), demonstrating the value of localized RAG with curated national guidelines. Other pairwise comparisons (e.g., o3 mini high variants) did not reach statistical significance after Bonferroni correction. During its six-month nationwide deployment, the system received overwhelmingly positive user feedback with average response times under three seconds. The findings confirm that domain-specific, nationally adapted LLM systems can outperform general-purpose models in country-specific clinical applications.</t>
  </si>
  <si>
    <t>The paper implemented a CBIR pipeline for 6600 DICOM images spanning 22 classes and 3 modalities (CT, MRI, Ultrasound) from the TCIA archive. A pre-filter method using DICOM metadata was combined with DCNN-based feature vectors stored in a feature vector database. A convolution-layer prediction model was trained on 70% of the data and evaluated on 30%. The system achieved an average precision of 0.80 and recall of 0.87, which the authors consider suitable for high-quality semantic image retrieval.</t>
  </si>
  <si>
    <t>The paper presents RAGMed, a prototype RAG-based medical assistant, and evaluates two embedding models within its retrieval pipeline. Using the RAG-Triad framework on 18 medical queries, gte-large (higher-dimensional embeddings) retrieved more informative context and produced more accurate, factually grounded responses compared to all-MiniLM-L6-v2. The system demonstrated functional capability across three healthcare tasks: medical QA, appointment scheduling, and clinical note summarization. The authors conclude that embedding dimensionality has measurable consequences for retrieval quality and response grounding in a safety-critical medical domain. The study is positioned as a proof-of-concept with a small evaluation set, not a formal validation.</t>
  </si>
  <si>
    <t>The framework filtered 10,824 genes from the BloodGen3 repertoire down to 30 ultra-high confidence sepsis candidates with &gt;94% filtering efficiency. Benchmark validation against expert-curated databases achieved 71.2% recall with a systematic correlation between computational confidence and evidence quality. The final set comprised 19 known sepsis genes and 11 novel candidates, with strong enrichment for inflammatory pathways (TNF-α signaling, complement activation, interferon responses). The RAG faithfulness pass rate was 30.5%, and systematic blind spots were identified in metabolic pathways. The modular design enables adaptation to other diseases through knowledge base substitution.</t>
  </si>
  <si>
    <t>The paper developed a context-aware RAG system for urology and evaluated it against four baseline LLaMA models without RAG integration across 150 domain-specific queries. The RAG-enhanced model consistently produced more accurate, concise, and context-aware responses with markedly fewer hallucinations. A subset of 50 responses was reviewed by board-certified urologists for clinical accuracy and guideline adherence. The system achieved an 89% performance improvement over baselines in generating medically appropriate answers. Integration of memory modules and named entity filtering further improved precision and reliability.</t>
  </si>
  <si>
    <t>The paper describes the design, architecture, and implementation of DrugRepoChatter, a RAG-based chatbot that uses a vector database of 285 expert-curated open-access articles on drug repurposing. The system embeds text splits into a vector space, performs similarity search to retrieve relevant passages, and uses an LLM to generate grounded answers. Initial user feedback indicated strong appreciation for the intuitive design and credibility of responses with direct source citation. The paper reports no quantitative benchmarks or comparisons against alternative systems. The tool is made available as a web application to the research community.</t>
  </si>
  <si>
    <t>The paper describes Medilink as an integrated digital healthcare platform combining electronic prescription storage, a global anonymized prescription database, medication reminder systems, an AI-powered diagnostic assistant (MED-GPT), and data-quality tools for analysts. It positions the platform as a solution to problems such as lost paper prescriptions, poor medication adherence, and limited access to professional healthcare in emergencies. The technology stack is listed as including Golang, AngularJS, PostgreSQL, Python FastAPI, Hugging Face Transformers, Vectordb, Langchain, sentence-transformers, and other tools. No quantitative results, benchmarks, or comparative evaluations are reported. The paper is purely descriptive of the platform's intended features and architecture.</t>
  </si>
  <si>
    <t>The hospital group implemented a ChatGPT-based medical assistant powered by Pinecone's vector database, converting over 100,000 medical documents into vector embeddings for semantic search. The system processed thousands of patient queries over a six-month period and achieved high satisfaction ratings. It enabled semantic understanding of patient queries (e.g., connecting 'I wheeze after climbing stairs' to exercise-induced bronchospasm) beyond traditional keyword matching. The implementation reduced demand on the hospital's nurse call center, allowing clinical staff to redirect attention to direct patient care. The system maintained HIPAA compliance through anonymized tokenization while delivering personalized responses.</t>
  </si>
  <si>
    <t>The paper queried four LLMs with two patient-style questions about diabetic macular edema treatment and scored responses on readability, accuracy, helpfulness, and specificity. Cohere Coral achieved the highest average score of 85.5/100, followed by Claude (81), Bard (80), and ChatGPT (76.5). The authors conclude that RAG-based LLMs can provide accurate and instantaneous health education for this condition. The study is limited to two questions and a small, custom scoring rubric.</t>
  </si>
  <si>
    <t>The authors collected 3497 PubMed abstracts and 191 expert-curated publications (broken into 5756 documents), building a vector database of 9253 vectors. Using RAG, they queried an LLM on multiple questions about uremic toxins. The first and second LLM responses were reasonable, but the third demonstrated hallucination—plausible yet factually incorrect information. The authors conclude that RAG improves LLM answer quality by leveraging curated documents, but hallucination persists and LLM output still requires human verification.</t>
  </si>
  <si>
    <t>The paper proposes a four-component chatbot system (knowledge base creation, LangChain model, conversation memory, and sentiment analysis) designed to assist healthcare professionals in mental health assessment and treatment. The system is described as a cloud-hosted application with voice capabilities, using FAISS for vector storage of mental health knowledge. No quantitative experimental results or benchmarks are reported; the paper remains at the level of system design and architectural description. The authors acknowledge the chatbot is not a substitute for professional therapy and that its effectiveness may vary by individual factors. The work is primarily a conceptual proposal rather than an evaluated implementation.</t>
  </si>
  <si>
    <t>The system was tested with complex queries involving multiple nutritional constraints and allergy exclusions. All 10 retrieved documents aligned with the chicken-based requirement, and GPT-4o generated responses with nutrient details and ingredient adjustments. However, during retrieval, recipes containing paprika (a specified allergy) were still retrieved with similarity scores of 0.7317 and 0.7166, revealing a limitation in handling negative constraints. GPT-4o then re-evaluated the retrieved set and successfully excluded paprika-containing recipes in the final output. The authors conclude that the RAG + GPT-4o combination provides a flexible and adaptive solution for personalized recipe design.</t>
  </si>
  <si>
    <t>The paper tested six LLMs across three agentic configurations for RA screening using a 350-case PreRAID dataset. Deepseek R1 achieved the highest accuracy (82%) in the single-agent with knowledge base setting, followed by o1 and o3 mini (80% each). Accuracy dropped in the dual-agent setup, most notably for Gemini 2.5 Pro (37%) and Gemini 2.0 Flash (40%). Correct diagnostic justifications were suboptimal across all models, with Gemini 2.0 Flash and Deepseek R1 performing best. The dual-agent configuration did not improve reasoning logic and actually reduced diagnostic performance.</t>
  </si>
  <si>
    <t>The paper trained a Random Forest classifier on 100 COPD patients using a set of physical tests and demographic risk factors. The model achieved 92.41% accuracy and a perfect recall of 1.00, correctly identifying all COPD patients in the dataset. The authors argue that this physical-test-based approach is more cost-effective and accessible than CT/X-ray imaging methods, making it suitable for resource-limited settings. The study positions the model as a practical tool for large-scale COPD screening and early detection.</t>
  </si>
  <si>
    <t>The authors built and validated a RAG-based biomedical assistant (CARMINA) using four small open-source LLMs coupled with a MongoDB vector database of 650,000 cardiology abstracts. Benchmarking with ~250 questions showed that qwen2:7b was the most consistent model across all evaluation metrics. All models appropriately acknowledged lack of information and provided relevant references. The optimized RAG architecture significantly reduced hallucination rates compared to standard implementations, and larger open-source models did not substantially improve performance. The authors conclude that small models with specialized RAG workflows can outperform non-specialized larger models for cardiovascular research assistance.</t>
  </si>
  <si>
    <t>The system was evaluated through simulated conversations generated by 3 volunteers and report assessments by 3 evaluators over 4 periods. Single-turn chatbot evaluation yielded mean scores between 4.50 and 4.90 across five dimensions, with an overall mean of 4.80; multiturn evaluation improved the overall mean to 4.98. The report generation system achieved high scores for completeness (4.83) and correctness (4.88), with reference validity reaching perfect scores (5.00). Validation against human expert assessments showed reasonable agreement for objective dimensions (relevance, correctness) but greater variability for subjective dimensions (routing, reference quality), partly reflecting genuine inter-expert disagreement. The study concluded that the integrated AI agent system is feasible for supporting both public HPV vaccine communication and institutional discourse monitoring in a Japanese-language context.</t>
  </si>
  <si>
    <t>The paper developed PreVisit AI, a RAG system that retrieves from seven English plain-text clinical guides indexed in Chroma and generates responses via the Gemini API. Experiments varied chunk size and retrieval depth across nine configurations, computing mean ROUGE-L and BERTScore for each. Smaller chunk sizes provided more focused grounding for generation, and clinical-style prompts produced the strongest alignment with reference answers. The system performed consistently across retrieval configurations, demonstrating feasibility as a patient readiness assistant. However, the evaluation was limited to twenty synthetic questions and a small, author-curated corpus.</t>
  </si>
  <si>
    <t>The RAG system was built on a radiologist-informed corpus of 1049 documents and evaluated via functional testing, automated metrics, and expert assessment. No hallucinations were detected in the 77-query functional testing set. On the full 400-query dataset, automated Contextual Precision, Contextual Recall, and Answer Relevancy were 0.735, 0.881, and 0.890, respectively. Expert evaluation showed high response accuracy (mean 4.53/5) and expert-assessed Contextual Precision of 0.886, with substantial to excellent inter-expert agreement. The moderate correlation between automated and expert-derived Contextual Precision highlighted limitations of LLM-as-a-judge metrics in domain-specific medical RAG.</t>
  </si>
  <si>
    <t>Two variations of findings section generation were implemented and evaluated on a dataset of 908 reports from seven radiologists. The second variation (reconstructing findings from retrieved paragraphs) achieved a mean ROUGE-L of approximately 0.6 and BERTScore of roughly 0.9, while the first variation (merging retrieved findings parts) scored around 0.5 ROUGE-L and 0.8 BERTScore. The first variation was about three times slower than the second. Clinical evaluation by two radiologists showed that human-generated reports maintained statistically significant advantages in clinical correctness, completeness, and overall performance, while the risk-of-harm assessment showed no significant difference, suggesting LLMs could serve as safety validation tools.</t>
  </si>
  <si>
    <t>The paper presents multiple clinical findings on endometrial cancer. The extraperitoneal approach for laparoscopic para-aortic lymphadenectomy was found feasible and safe. A deep learning pipeline achieved test accuracy of 0.79 for deep myometrial invasion prediction and 0.75 balanced accuracy for cervical stroma invasion prediction, with Dice coefficients of 0.87 and 0.60 for uterus and tumor segmentation respectively. Clinical data from Denpasar showed most patients were aged 50-59 with Stage II disease and Type 1 histopathology. Immune cell analysis revealed decreased epithelial immune cell infiltration in obese patients with malignancy, with diabetes increasing immune cell presence in that subgroup.</t>
  </si>
  <si>
    <t>The paper explores how vector databases can improve semantic search in EHRs, enable retrieval of similar cases in medical imaging, and power conversational AI for patient interaction. It argues that vector-based architectures bridge gaps in multimodal data integration (textual, imaging, genomic) by representing data in a common vector space. The findings suggest improved data accessibility, faster query response times, and enhanced diagnostic accuracy compared to traditional keyword-based systems. The study concludes that adopting vector-based architectures can elevate healthcare delivery quality and patient satisfaction. However, the paper remains largely conceptual, presenting expected results and discussion points rather than empirical measurements.</t>
  </si>
  <si>
    <t>PRS-GPT produced structured, on-topic, citation-linked responses across all tested subspecialties. In preliminary testing, 87% of outputs contained at least one literature citation and 80% demonstrated correct citation-claim fidelity on manual review. All patient-specific clinical questions triggered appropriate safety disclaimers, and median latency remained at 3-5 seconds, acceptable for real-time use. The authors conclude the system demonstrates feasibility of a scalable, specialty-specific RAG platform for surgical education, while noting that a full validation study with blinded expert scoring is still underway.</t>
  </si>
  <si>
    <t>Variability in performance across different criteria, particularly time-sensitive or multi-requirement criteria; Failure to understand certain semantics within patient EHR, including the relation of different events in a patient's medical history; LLM hallucinations generating incorrect evidence, posing challenges for consistent and reliable results in medical contexts; Insufficient label generation guidelines on the n2c2 website prevented further exploration of potentially mislabeled ground truth criteria; GPT-4 testing was limited to a subset of 40 patients due to cost limitations</t>
  </si>
  <si>
    <t>Evaluation relied on human graders, introducing potential bias; Small number of evaluators (N=3) limits statistical power; Cloud-based hosting may be inaccessible in environments with unstable or limited internet connections; No ablation analysis was conducted to isolate the specific contribution of RAG technology; RAG systems exhibit limitations in semantic comprehension of complex medical ontologies and intricate reasoning pathway relationships; The vector database of textbooks and guidelines is infrequently updated, potentially lacking the latest knowledge; Occasional inaccuracies and hallucinations persist due to limited datasets</t>
  </si>
  <si>
    <t>Limited dataset size and absence of diversity can impact data quality and cause class imbalance; Use of thin blood film images constrains generalization to alternative diagnostic techniques or sample types; Significant color variability within images diminishes network performance; Generalization to images from alternative mobile phone cameras or lower resolutions is not addressed; Diversity and representativeness of the dataset for the three Trypanosome classes limits generalizability; False negatives persist for T. evansi, particularly at low kNN values; Determining a suitable kNN value is contingent on the specific environment and dataset variation</t>
  </si>
  <si>
    <t>Data privacy concerns regarding sensitive personal medical data being sent to global servers; Cost of OpenAI API for serving a large number of patients; Local models (Llama 2, Llama 3) proved less effective, especially in non-English languages; Dependence on input quality: incorrect user input leads to unsatisfactory replies; GPT may generate outputs lacking context, accuracy, and understanding of medical nuances</t>
  </si>
  <si>
    <t>Chainlit compatibility conflicts with certain Python modules and evolving versions add complexity; Chainlit applications can be computationally demanding; Acquiring medical data is difficult due to privacy concerns and doctor-patient confidentiality; Keeping sufficient images for both training and validation to avoid underfitting and overfitting; Rouge-2 recall of 35% indicates gaps in identifying all relevant bigrams; Rouge-L recall of 48% suggests gaps in capturing all relevant information in sequence prediction</t>
  </si>
  <si>
    <t>The system was evaluated primarily in the domain of internal medicine, limiting generalizability to pediatrics, mental health, or geriatric care; Usability evaluation was informal and limited to expert feedback; a formal user study is planned but not yet conducted; Due to GDPR constraints, personalization features and long-term interaction histories are currently unavailable; Absence of a formal error analysis; only informal internal reviews of incorrect responses were performed; The system is not yet integrated with patient electronic health records (EHRs) or biometric sensors; Broader international applicability requires additional adaptation to local clinical protocols, regulatory frameworks, and language norms</t>
  </si>
  <si>
    <t>Absence of real clinical conversation data; reliance on public datasets that may not reflect authentic patient-provider communication complexity; Regulatory restrictions (HIPAA, FERPA) and IRB approval barriers limit access to real-world patient-doctor dialogues; Data de-identification challenges for conversational data containing subtle identifiers; The question test set of 18 queries is insufficient for formal validation and serves only as an illustrative demonstration; The prototype cannot handle negative findings (absence of symptoms, normal results, non-diagnostic statements); Public datasets like MedDialog may differ in linguistic style, cultural context, and clinical workflow from typical healthcare encounters</t>
  </si>
  <si>
    <t>Systematic blind spots in metabolic pathways (protein synthesis, urea cycle, cellular maintenance) likely reflecting literature emphasis on inflammatory over metabolic mechanisms; 30.5% RAG faithfulness pass rate may introduce bias toward well-studied genes; Selective loss of broader regulatory pathways (TGF-β signaling, EMT) in literature-validated sets suggests underrepresentation of resolution mechanisms; Substantial API costs and processing time may limit accessibility; Dependency on proprietary models creates sustainability concerns for long-term research applications and reproducibility; Potential circularity favoring well-published genes due to correlation between computational scores and PubMed publication frequency</t>
  </si>
  <si>
    <t>Querying large external databases can introduce delays in response time; Accuracy of responses relies on the quality and relevance of retrieved documents; Building and maintaining the retriever and database infrastructure requires careful design and optimization; Need for dynamic periodical collection-storage algorithms to maintain data recency</t>
  </si>
  <si>
    <t>The database is static and requires manual updating; the authors acknowledge the need for a systematic and efficient update process.; Embedding and chatting with full-text articles could cause computational demands and potential user experience issues, so the authors plan to limit updates to titles and abstracts only.; The chatbot's natural language processing capabilities need further enhancement to improve relevance and accuracy of responses.</t>
  </si>
  <si>
    <t>Only two questions were used to evaluate the LLMs; The scoring system is custom and subjective, with weighted metrics chosen by the authors</t>
  </si>
  <si>
    <t>Hallucination persists even when RAG is used to augment the LLM; LLM output, even improved with RAG, requires scrutiny and human verification</t>
  </si>
  <si>
    <t>The chatbot is not a substitute for professional medical advice or therapy; Effectiveness may vary depending on individual preferences, cultural factors, and severity of depression symptoms; Local execution of the LLM requires significant GPU power, necessitating API-based access; The system has not been validated through rigorous clinical trials or real-world deployments</t>
  </si>
  <si>
    <t>Challenges in accurately interpreting and applying negative constraints (e.g., allergy exclusions) during the retrieval phase, as paprika-containing recipes were still retrieved despite the specified exclusion</t>
  </si>
  <si>
    <t>Lack of explainability limits clinical use of the screening system; Reasoning quality was suboptimal across all tested models; Dual-agent configuration reduced diagnostic performance without improving reasoning logic</t>
  </si>
  <si>
    <t>Small dataset of only 100 patients, limiting statistical power and generalizability; Sample may not adequately represent the broader population, potentially introducing bias; Model performance may be affected by data quality and completeness; Lack of external validation in different settings or populations; Dataset does not account for racial and ethnic diversity</t>
  </si>
  <si>
    <t>Limitations of automated benchmarking methodologies; Inherent risks associated with using LLMs as evaluators</t>
  </si>
  <si>
    <t>The work is a proof-of-concept evaluation rather than a clinical or public health impact study; The system was not tested with real patients, members of the public, or clinical end users in an operational setting; Evaluation relied on simulated conversations generated by only 3 volunteers and report assessments by 3 evaluators over 4 periods; Social media data were exclusively derived from Japanese X users, potentially underrepresenting older adults and those with limited digital access; LLM-based evaluation may introduce biases that differ from human judgment, particularly for nuanced routing decisions; The evaluation dataset (31 conversations and 139 exchanges) may not capture all real-world interaction patterns; Keyword-based data collection introduces potential selection bias; Geographic specificity to the Japanese government constrains transferability to other national contexts</t>
  </si>
  <si>
    <t>ROUGE-L and BERTScore measure similarity to reference text, not clinical correctness, safety, or usefulness; Retrieval metrics depend on document-level labels whose reliability is limited if finalized by a single annotator; The system does not verify claims against individual health records, provide emergency triage, or substitute for licensed clinical care; The knowledge base comprises only seven English plain-text guides that are small, static, and author-curated; Evaluation employed only twenty synthetic question-reference pairs without protected health information; Co-authorship of guides and references by the project team may inflate automatic metrics relative to real patient language; Standard public benchmarks (MedQA, PubMedQA, BioASQ) were not used; No model weights were trained; the guides were indexed for retrieval only; Supabase storage does not constitute HIPAA compliance; Gemini API usage implies third-party processing of prompts under vendor terms distinct from on-premises clinical hosting</t>
  </si>
  <si>
    <t>The system operates only with textual sources and does not analyze illustrations or medical images.; Knowledge base updating is currently manual and requires expert validation, parsing, cleaning, chunking, and reindexing.; The comparison between the RAG system and the LLM-only baseline was based only on automated metrics and was not assessed by multireader expert evaluation.; Retrieval hyperparameters were selected empirically during iterative debugging, and no full latency-performance ablation was performed.; The technical testing set was source-grounded and did not fully reproduce naturalistic workstation queries; no separate holdout-source or real-world user-log evaluation was conducted.; The system was tested on a single-institution corpus, limiting generalizability and requiring external validation.</t>
  </si>
  <si>
    <t>Optimal number of key phrases for generation does not exceed seven; the 8-billion-parameter LLM is unable to perform the merge operation eight or more times; In some experiments the LLM lost context and entered a loop generating the same token, or produced unexpected final text; There is a trade-off between generation time and the number of key phrases used</t>
  </si>
  <si>
    <t>The extraperitoneal approach requires an adequate learning curve and in-depth knowledge of retroperitoneal anatomy; The immune cell infiltration results need further studying, including mechanistic studying, in larger cohorts</t>
  </si>
  <si>
    <t>Integration of vector databases with existing healthcare information systems without disrupting workflows remains a challenge; Data security and compliance for sensitive healthcare data in vector database deployments need to be addressed; Adoption of vector databases in healthcare remains underexplored; The paper presents expected results and discussion points rather than concrete empirical measurements or benchmarks</t>
  </si>
  <si>
    <t>Testing was preliminary, limited to only 30 representative prompts across subspecialties; Citation-claim fidelity was assessed by manual review rather than automated or blinded expert scoring; A full validation study involving blinded expert scoring has not yet been completed</t>
  </si>
  <si>
    <t>Adoption of few-shot prompting and enhanced prompt engineering techniques to bolster LLM performance; Leveraging prompt engineering techniques when creating LLM-generated expert guidance to increase accuracy; Sampling answers from the LLM to ensure decision certainty; Expanding testing across diverse clinical datasets to identify and mitigate weaknesses; Automatically customizing prompts on a per-criteria basis to increase performance and ease of use; Determining the potential of the approach when implemented on real clinical data</t>
  </si>
  <si>
    <t>Expand the vector database to include a broader range of data such as the latest updated guidelines and textbooks; Develop an offline mode or lightweight model for environments with limited connectivity; Conduct an ablation analysis to better understand the specific impact of RAG technology; Include a larger number of evaluators to enable statistical analysis and enhance objectivity; Continuously update and enhance the system to remain competitive as commercial LLMs release new versions; Improve semantic comprehension of complex medical ontologies and intricate reasoning pathway relationships</t>
  </si>
  <si>
    <t>Need to curate diverse and representative datasets to improve generalizability; Validation of the proposed methods across a range of diagnostic scenarios and imaging devices; Development of robust models that handle variations in imaging devices and resolutions; Further optimization to reduce false negatives, potentially by increasing the quantity of feature vectors per class label; Addressing the challenge of selecting an appropriate kNN value for different biological datasets</t>
  </si>
  <si>
    <t>Enhancing natural language processing capabilities to better understand and respond to user queries; Expanding the system's database to include a broader range of medical knowledge; Conducting extensive user studies to gather feedback and identify areas for improvement; Integrating advanced features such as predictive analytics for early disease detection and personalized health recommendations; Integration with other health information systems and sources within Slovenia; Testing more advanced open-source models for local deployment; Adding local sensor data from home environments to improve input quality</t>
  </si>
  <si>
    <t>Integration of more extensive and diverse dermatological datasets from various sources and populations; Using cutting-edge computer vision techniques to enhance sensitivity and precision of skin condition detection; Incorporating multilingual support for broader global accessibility; Improving cultural sensitivity by accounting for regional nuances in expressing skin-related issues; Training the model on blurry images to handle low-quality user uploads; Strategic integration into telemedicine platforms for remote consultations; Integration with electronic health records (EHR) for personalized interactions</t>
  </si>
  <si>
    <t>Formal error analysis distinguishing between benign misclassifications, missed escalations, and potential risks; Formal usability study with written user consent; Expansion to other medical domains (pediatrics, mental health, geriatric care) with separate guideline integration; Consent-based personalization features and long-term interaction histories via national health portals; International adaptation to local clinical protocols, regulatory frameworks (e.g., HIPAA, EU Medical Device Regulation), and language norms</t>
  </si>
  <si>
    <t>Extension to validated, de-identified real-world clinical data through formal collaborations and regulatory approval; Voice-based querying for more natural interactions; Integration with Electronic Health Record (EHR) systems for seamless clinical workflows; Advanced privacy-preserving mechanisms for sensitive health data; Incorporation of clinical NLP negation detection (e.g., NegEx or neural approaches) into the RAG pipeline for handling negative findings; Physician involvement in iterative validation and co-design; Expansion of evaluation to biomedical benchmarks such as BioASQ, PubMedQA, i2b2/n2c2, and MIMIC; Incorporation of statistical rigor through confidence intervals, hypothesis testing, and effect size reporting</t>
  </si>
  <si>
    <t>Incorporate experimental data beyond literature analysis, including functional genomics and clinical outcomes data; Integration of tissue-specific and temporal expression patterns for context-relevant prioritization; Expanding beyond inflammatory mechanisms to include metabolic and repair pathways for more comprehensive target coverage; Continued validation against experimental outcomes and clinical data to establish real-world utility</t>
  </si>
  <si>
    <t>Reducing inference latency of the RAG system; Improving automated validation without manual oversight; Developing dynamic periodical collection-storage algorithms to improve data recency in RAG systems</t>
  </si>
  <si>
    <t>Creating a periodic querying system to consistently pull new publications from PubMed and incorporate them into the knowledge base.; Enhancing the chatbot's natural language processing capabilities to improve response relevance and accuracy.; Replacing the currently running LLM with newer, more advanced open-source models as they become available.; Developing a streamlined article update process that avoids re-embedding into the database to maintain response times.</t>
  </si>
  <si>
    <t>Physicians should follow the new, evolving LLMs as it may affect patient education</t>
  </si>
  <si>
    <t>Need for rigorous clinical trials and real-world deployments to validate efficacy; Refinement of the chatbot's algorithms; Expansion of the repertoire of therapeutic techniques; Ensuring accessibility and inclusivity for diverse user populations; Hosting the chatbot in the cloud to decrease response time; Using OpenAI model to improve accuracy</t>
  </si>
  <si>
    <t>Developing explainable AI for clinical screening applications</t>
  </si>
  <si>
    <t>Need for a larger and more diverse sample to validate results; Need for external validation in varied environments to confirm robustness; Need for a dataset that accounts for race and ethnicity to improve diagnostic accuracy</t>
  </si>
  <si>
    <t>Addressing the limitations of automated benchmarking methodologies; Addressing the inherent risks of using LLMs as evaluators</t>
  </si>
  <si>
    <t>Prospective deployment with real users is needed to assess actual public health impact; Adaptation of the architecture to other vaccines and health conditions; Extension to multilingual public health contexts</t>
  </si>
  <si>
    <t>Near-term progression from seven static guides to a multi-specialty curated library and governed clinical content feed; Transitioning the front end to a client over a content API and vector service rather than embedded source documents; Clinical safety validation of the system; Use of standard public benchmarks (MedQA, PubMedQA, BioASQ) for evaluation</t>
  </si>
  <si>
    <t>Expansion of the knowledge base and development of mechanisms for automated document updates within the vector database.; Partial automation of knowledge base updating steps including monitoring of source repositories, detection of updated documents, metadata extraction, duplicate identification, and scheduled reindexing.; Linking text fragments with associated illustrations or incorporating multimodal models capable of analyzing medical images.; Transition from a closed RAG pipeline to an agent-based system allowing the LLM to decide autonomously when external retrieval is needed.; Integration of structured tools beyond purely semantic retrieval to address cases where semantically similar documents are not actually relevant.; External validation of the system on other institutions and corpora.</t>
  </si>
  <si>
    <t>It is possible that an LLM with more parameters would be able to handle a larger number of key phrases; The area of automatic generation of a findings section has not been extensively explored yet</t>
  </si>
  <si>
    <t>Further mechanistic studying of obesity-related low-grade inflammation and immune cell infiltration in larger cohorts is needed</t>
  </si>
  <si>
    <t>Demonstrating tangible improvements in user interaction from vector database adoption in healthcare; Strategies for secure and compliant integration of vector databases with sensitive healthcare data; Addressing multimodal data integration challenges (textual, imaging, genomic data); Evaluating performance advantages of vector databases over traditional systems in large-scale healthcare applications; Assessing scalability of vector databases for rapidly growing healthcare datasets in real-time environments</t>
  </si>
  <si>
    <t>A full validation study involving blinded expert scoring is needed to confirm the system's reliability</t>
  </si>
  <si>
    <t>W4416994072</t>
  </si>
  <si>
    <t>https://openalex.org/works/W4416994072</t>
  </si>
  <si>
    <t>C:\Users\Dominik\Documents\arm\pdf\not_open_access\W4416994072.pdf</t>
  </si>
  <si>
    <t>2025-12-04</t>
  </si>
  <si>
    <t>Letter: Augmenting Large Language Models With Automated, Bibliometrics-Powered Literature Search for Knowledge Distillation: A Pilot Study for Common Spinal Pathologies</t>
  </si>
  <si>
    <t>The vector database is mentioned only in passing as one step in a larger RAG pipeline ('article chunking and embedding into a vector database'), with no discussion of specific systems, indexing methods, or vector search technology. The paper's main subject is medical AI and clinical evidence synthesis in spinal neurosurgery.</t>
  </si>
  <si>
    <t>A letter to the editor commenting on a bibliometrics-LLM pipeline for spinal pathology literature summarization, proposing the integration of deep learning, multimodal comprehension, and hierarchical evidence weighting to improve clinical utility.</t>
  </si>
  <si>
    <t>The authors propose augmenting an existing retrieval-augmented generation pipeline with convolutional neural networks, transformer-based models, and hierarchical attention networks to enable multimodal comprehension and structured bias-aware inference for clinical evidence synthesis.</t>
  </si>
  <si>
    <t>OpenEvidence; Doximity</t>
  </si>
  <si>
    <t>Spinal neurosurgery literature summarization and clinical decision support</t>
  </si>
  <si>
    <t>The paper is a commentary letter that commends a pilot study by Kurland et al. on a bibliometrics-LLM pipeline for spinal pathology literature. The authors identify limitations of the existing system, including sequential linear processing and surface-level relevance matching. They propose integrating deep learning models (CNNs, transformers, hierarchical attention networks) to enable multimodal comprehension of figures, structured metadata, and clinical evidence weighting. The letter envisions a future where such systems are embedded in clinical decision algorithms and electronic medical records. No new experimental results are presented; the contribution is a forward-looking vision for improving the pipeline.</t>
  </si>
  <si>
    <t>The existing pipeline depends on sequential linear processing; The existing pipeline relies on surface-level relevance matching; The system may overlook clinical nuance and contextual interpretation; Doximity's GPT-4 integration currently lacks integrated evidence weighting or inference logic</t>
  </si>
  <si>
    <t>Integration of multimodal signals (radiographic imaging, Kaplan-Meier curves, algorithmic diagrams) into the summarization pipeline; Incorporation of structured metadata (cohort size, study design, effect size) as weighted inputs; Development of hierarchical attention networks to prioritize high-impact studies over case reports; Extension from text summarization to structured bias-aware inference; Integration of such systems into clinical-decision algorithms or electronic medical records for real-time access</t>
  </si>
  <si>
    <t>W4391267397</t>
  </si>
  <si>
    <t>https://openalex.org/works/W4391267397</t>
  </si>
  <si>
    <t>C:\Users\Dominik\Documents\arm\pdf\open_access\W4391267397.pdf</t>
  </si>
  <si>
    <t>2023-01-01</t>
  </si>
  <si>
    <t>ORTHO AI : The Dawn Of A New Era: Artificial Intelligence In Orthopaedics</t>
  </si>
  <si>
    <t>The paper is entirely about AI applications in orthopaedics and does not mention vector databases, similarity search, or any related core technology at all.</t>
  </si>
  <si>
    <t>The potential of Artificial Intelligence to redefine orthopaedics in areas such as diagnosis, treatment planning, surgical execution, prosthetics, rehabilitation, and predictive analytics.</t>
  </si>
  <si>
    <t>The paper presents a vision statement announcing the launch of 'OrthoAI' as a new initiative focused on AI in orthopaedics. It outlines the areas where AI is expected to bring improvements, including diagnosis, treatment planning, surgical execution, prosthetics, rehabilitation, and predictive analytics. The authors express their intention to follow the field and present insights over time. No experimental results, benchmarks, or technical analyses are provided. The paper serves as a foundational announcement rather than a research contribution.</t>
  </si>
  <si>
    <t>W3174800867</t>
  </si>
  <si>
    <t>W1967328652</t>
  </si>
  <si>
    <t>W4407959012</t>
  </si>
  <si>
    <t>W2039083336</t>
  </si>
  <si>
    <t>W4399233786</t>
  </si>
  <si>
    <t>W4404867015</t>
  </si>
  <si>
    <t>W4414288073</t>
  </si>
  <si>
    <t>W7125409037</t>
  </si>
  <si>
    <t>W7134234604</t>
  </si>
  <si>
    <t>W7143423157</t>
  </si>
  <si>
    <t>W7164338188</t>
  </si>
  <si>
    <t>W7164742938</t>
  </si>
  <si>
    <t>W7164861125</t>
  </si>
  <si>
    <t>W7163994313</t>
  </si>
  <si>
    <t>https://openalex.org/works/W3174800867</t>
  </si>
  <si>
    <t>https://openalex.org/works/W1967328652</t>
  </si>
  <si>
    <t>https://openalex.org/works/W4407959012</t>
  </si>
  <si>
    <t>https://openalex.org/works/W2039083336</t>
  </si>
  <si>
    <t>https://openalex.org/works/W4399233786</t>
  </si>
  <si>
    <t>https://openalex.org/works/W4404867015</t>
  </si>
  <si>
    <t>https://openalex.org/works/W4414288073</t>
  </si>
  <si>
    <t>https://openalex.org/works/W7125409037</t>
  </si>
  <si>
    <t>https://openalex.org/works/W7134234604</t>
  </si>
  <si>
    <t>https://openalex.org/works/W7143423157</t>
  </si>
  <si>
    <t>https://openalex.org/works/W7164338188</t>
  </si>
  <si>
    <t>https://openalex.org/works/W7164742938</t>
  </si>
  <si>
    <t>https://openalex.org/works/W7164861125</t>
  </si>
  <si>
    <t>https://openalex.org/works/W7163994313</t>
  </si>
  <si>
    <t>C:\Users\Dominik\Documents\arm\pdf\open_access\W3174800867.pdf</t>
  </si>
  <si>
    <t>C:\Users\Dominik\Documents\arm\pdf\open_access\W1967328652.pdf</t>
  </si>
  <si>
    <t>C:\Users\Dominik\Documents\arm\pdf\open_access\W4407959012.pdf</t>
  </si>
  <si>
    <t>C:\Users\Dominik\Documents\arm\pdf\open_access\W2039083336.pdf</t>
  </si>
  <si>
    <t>C:\Users\Dominik\Documents\arm\pdf\open_access\W4399233786.pdf</t>
  </si>
  <si>
    <t>C:\Users\Dominik\Documents\arm\pdf\open_access\W4404867015.pdf</t>
  </si>
  <si>
    <t>C:\Users\Dominik\Documents\arm\pdf\open_access\W4414288073.pdf</t>
  </si>
  <si>
    <t>C:\Users\Dominik\Documents\arm\pdf\open_access\W7125409037.pdf</t>
  </si>
  <si>
    <t>C:\Users\Dominik\Documents\arm\pdf\open_access\W7134234604.pdf</t>
  </si>
  <si>
    <t>C:\Users\Dominik\Documents\arm\pdf\open_access\W7143423157.pdf</t>
  </si>
  <si>
    <t>C:\Users\Dominik\Documents\arm\pdf\open_access\W7164338188.pdf</t>
  </si>
  <si>
    <t>C:\Users\Dominik\Documents\arm\pdf\open_access\W7164742938.pdf</t>
  </si>
  <si>
    <t>C:\Users\Dominik\Documents\arm\pdf\open_access\W7164861125.pdf</t>
  </si>
  <si>
    <t>C:\Users\Dominik\Documents\arm\pdf\not_open_access\W7163994313.pdf</t>
  </si>
  <si>
    <t>2021-06-29</t>
  </si>
  <si>
    <t>2013-06-01</t>
  </si>
  <si>
    <t>2025-02-26</t>
  </si>
  <si>
    <t>2024-02-29</t>
  </si>
  <si>
    <t>2024-11-29</t>
  </si>
  <si>
    <t>2025-09-17</t>
  </si>
  <si>
    <t>2026-01-22</t>
  </si>
  <si>
    <t>2026-03-09</t>
  </si>
  <si>
    <t>2026-03-30</t>
  </si>
  <si>
    <t>2026-06-11</t>
  </si>
  <si>
    <t>2026-06-01</t>
  </si>
  <si>
    <t>VECTOR: An Integrated Correlation Network Database for the Identification of CeRNA Axes in Uveal Melanoma</t>
  </si>
  <si>
    <t>A HYBRID APPROACH BASED MEDICAL IMAGE RETRIEVAL SYSTEM USING FEATURE OPTIMIZED CLASSIFICATION SIMILARITY FRAMEWORK</t>
  </si>
  <si>
    <t>Toward a Large Language Model-Driven Medical Knowledge Retrieval and QA System: Framework Design and Evaluation</t>
  </si>
  <si>
    <t>FEATURE DIMENSION REDUCTION FOR EFFICIENT MEDICAL IMAGE RETRIEVAL SYSTEM USING UNIFIED FRAMEWORK</t>
  </si>
  <si>
    <t>AI-Powered Online Symptom Checkers: Enhancing Accuracy and Guiding Users to Appropriate Medical Care</t>
  </si>
  <si>
    <t>A Cloud-Based Approach for Privacy-Preserving Medical Image Retrieval: Leveraging Local Features and PCA in Two Efficient Steps</t>
  </si>
  <si>
    <t>Enhancing Clinical Named Entity Recognition via Fine-Tuned BERT and Dictionary-Infused Retrieval-Augmented Generation</t>
  </si>
  <si>
    <t>GastroTCM: a large language model assistant for gastroenterology in traditional Chinese medicine</t>
  </si>
  <si>
    <t>Implementation and Evaluation of an Open-Source Chatbot for Patient Information Leaflets</t>
  </si>
  <si>
    <t>Med.ai ASK: an agentic system for biomedical question answering</t>
  </si>
  <si>
    <t>AIDx: a locally deployable AI system for physician clinical decision support</t>
  </si>
  <si>
    <t>SentinelGPT: A Large Language Model for Detecting Suicide and Depression Tendencies among Adolescents Based on the Micro-blog’s “Tree Hole” and GraphRAG</t>
  </si>
  <si>
    <t>MINDMATRIX: A RETRIEVAL-AUGMENTED GENERATION FRAMEWORK FOR MULTI-CLASS MENTAL HEALTH RISK ASSESSMENT USING LARGE LANGUAGE MODELS</t>
  </si>
  <si>
    <t>Multi-strategy RAG for Disease Comorbidity Prediction</t>
  </si>
  <si>
    <t>The paper is about a biological database for RNA correlation networks in uveal melanoma; the name 'VECTOR' is an acronym (uVeal mElanoma Correlation NeTwORk) and has no connection to vector databases, vector indexing, or nearest neighbor search technology.</t>
  </si>
  <si>
    <t>The paper is about traditional medical image retrieval using texture features, PSO optimization, and RVM classification; the 'feature vector database' is merely a basic storage of numerical feature vectors, and no vector database systems, ANN indexing methods, or similarity search technology are discussed.</t>
  </si>
  <si>
    <t>The paper's main subject is a medical LLM-based QA system (ERQA); the vector database is used as a supporting component within this system and is discussed only in the context of optimizing the medical retrieval pipeline (segmentation, embedding layers), not as a subject of study in itself.</t>
  </si>
  <si>
    <t>The paper is primarily about medical image retrieval and optimization-based feature selection; the 'feature vector database' is merely a storage concept for extracted texture features, and no vector database systems, indexing methods, or similarity search algorithms are discussed.</t>
  </si>
  <si>
    <t>The paper is primarily a medical application (AI-powered symptom checker) in which a vector database (Faiss) is used merely as one component of the system architecture; no in-depth analysis, comparison, or improvement of vector database technology is presented.</t>
  </si>
  <si>
    <t>The paper's main subject is privacy-preserving medical image retrieval with encryption and watermarking; the feature vector database is used only as a storage and similarity-search tool within the proposed system, with no analysis, comparison, or improvement of vector database technology itself.</t>
  </si>
  <si>
    <t>The paper is primarily about clinical NER and a RAG-based normalization pipeline; the UMLS-based vector database is used only as a retrieval component within the DiRAG module and is not examined, compared, or analyzed as a subject of study.</t>
  </si>
  <si>
    <t>The vector database is mentioned only as one component of the RAG pipeline supporting the LLM, with no analysis, comparison, benchmarking, or improvement of vector database technology or indexing methods.</t>
  </si>
  <si>
    <t>The paper is primarily about developing and evaluating a healthcare chatbot (MediChat) for medication information; the Chroma vector database is used only as a component in the RAG pipeline and is not the subject of analysis, comparison, or improvement.</t>
  </si>
  <si>
    <t>The paper is primarily about an agentic biomedical question-answering system; vector database retrieval is mentioned only as one of several retrieval tools in the RAG pipeline without any in-depth discussion of vector database technology, indexing methods, or system comparisons.</t>
  </si>
  <si>
    <t>The paper is primarily about a medical AI system for clinical decision support; FAISS and vector search are only mentioned as a component of the RAG pipeline and are not the subject of analysis, comparison, or improvement.</t>
  </si>
  <si>
    <t>The paper is primarily about an LLM-based mental-health detection system (SentinelGPT); a vector database is mentioned only as one component of the GraphRAG architecture for enabling 'efficient similarity retrieval' and is not studied, compared, or analyzed in any depth.</t>
  </si>
  <si>
    <t>The paper's main subject is a RAG framework for mental health risk assessment; ChromaDB is mentioned only as a component for storing embeddings and performing retrieval, with no analysis, benchmarking, or discussion of vector database technology or indexing methods.</t>
  </si>
  <si>
    <t>The vector database is mentioned only as a component ('dynamic vector database') within the RAG retrieval pipeline; no specific vector database systems, indexing methods, or comparative analyses of vector search technology are discussed. The paper's main subject is disease comorbidity prediction using LLMs and RAG.</t>
  </si>
  <si>
    <t>Identification and visualization of competitive endogenous RNA (ceRNA) regulatory networks in uveal melanoma by integrating expression correlations, RNA-RNA interactions, sense-antisense overlapping data, and transcription factor binding data into a single interactive database.</t>
  </si>
  <si>
    <t>Content-based medical image retrieval (CBMIR) using a hybrid framework combining texture feature extraction, feature vector dimensionality reduction, feature classification, and similarity measurement to improve retrieval speed and accuracy for diagnosis and research.</t>
  </si>
  <si>
    <t>Designing and evaluating ERQA, an LLM-driven medical knowledge retrieval and question-answering framework that integrates a semantic vector database with a curated literature repository for biomedical literature retrieval, abstract summarization, and QA.</t>
  </si>
  <si>
    <t>Feature dimensionality reduction for efficient Content Based Medical Image Retrieval (CBMIR) using a unified framework combining feature extraction, optimized feature selection, classification, and similarity measurement.</t>
  </si>
  <si>
    <t>Proposing a novel architecture for an AI-powered online symptom checker that combines a Vector Database, Faiss similarity search, and GPT API to provide accurate, personalized health advice and guide users to appropriate medical care.</t>
  </si>
  <si>
    <t>A two-step privacy-preserving approach for secure medical image retrieval in the cloud, combining encryption, watermarking, and feature-based similarity search to protect patient data while enabling authorized access.</t>
  </si>
  <si>
    <t>Enhancing clinical Named Entity Recognition (NER) by combining a fine-tuned BERT model for entity extraction with a Dictionary-Infused Retrieval-Augmented Generation (DiRAG) module for terminology normalization of ambiguous or abbreviated medical terms.</t>
  </si>
  <si>
    <t>Developing a specialized large language model assistant (GastroTCM) for Traditional Chinese Medicine gastroenterology that provides accurate diagnostic support, reduces hallucinations, and supports multi-turn clinical consultations.</t>
  </si>
  <si>
    <t>Development and evaluation of MediChat, an open-source, locally executable RAG-based chatbot that provides reliable medication information exclusively grounded in official patient information leaflets (PILs), targeting patients with varying health literacy levels.</t>
  </si>
  <si>
    <t>An agentic question-answering system (Med.ai ASK) for biomedical inquiries that dynamically integrates multiple knowledge sources through tool-driven reasoning and retrieval-augmented generation.</t>
  </si>
  <si>
    <t>Development and benchmark evaluation of AIDx, a locally deployable AI system for physician clinical decision support, centered on a fine-tuned LLM (AIDx-Copilot) with optional retrieval-augmented generation from open medical references.</t>
  </si>
  <si>
    <t>Detecting suicidal and depressive tendencies among adolescents on social media (Micro-blog 'Tree Hole') using a GraphRAG-enhanced large language model (SentinelGPT) with LoRA fine-tuning.</t>
  </si>
  <si>
    <t>Development of a Retrieval-Augmented Generation (RAG) framework (MindMatrix) for multi-class mental health risk assessment that combines semantic retrieval with Large Language Models to produce explainable, evidence-based assessments across multiple psychological conditions.</t>
  </si>
  <si>
    <t>Disease comorbidity prediction by integrating multi-strategy retrieval-augmented generation (RAG) with graph-structure information and LLM-based reasoning to overcome limitations of fixed chunking, single-metric structural extraction, and error-prone Chain-of-Thought prompting.</t>
  </si>
  <si>
    <t>Statistical elaboration of TCGA-derived expression data to compute correlation values among miRNAs, lncRNAs, and mRNAs, combined with predicted or validated RNA-RNA interactions, sense-antisense sequence overlapping data, and ChIPseq-based transcription factor binding data, all integrated into an interactive web-based database with graph visualization.</t>
  </si>
  <si>
    <t>Texture features extracted via Gray Level Co-occurrence Matrix (GLCM) and Tamura Features (TF) are stored as a feature vector database; Fuzzy-based Particle Swarm Optimization (FPSO) reduces feature dimensionality; Fuzzy-based Relevance Vector Machine (FRVM) classifies reduced feature vectors; Euclidean Distance is used as the similarity measure between query and target images.</t>
  </si>
  <si>
    <t>Domain-specific incremental pretraining and supervised fine-tuning of a 13B-parameter LLM on medical literature, combined with a semantic vector database for retrieval and a curated literature repository, evaluated on the COVID-19 and TripClick datasets.</t>
  </si>
  <si>
    <t>A unified framework (FPSO-ACO-FRVM) that extracts texture features via GLCM, Tamura, and Gabor filters, applies Fuzzy-based PSO combined with Ant Colony Optimization for feature selection and dimensionality reduction, classifies features using Fuzzy-based Relevance Vector Machine, and uses Euclidean Distance for similarity measurement between query and database images.</t>
  </si>
  <si>
    <t>Integration of a Vector Database with the Faiss similarity search algorithm and the GPT (Generative Pre-trained Transformer) API into a unified architecture that analyzes user inputs, identifies intents, suggests tests, and generates context-aware responses using conversation history summarization.</t>
  </si>
  <si>
    <t>A two-step security scheme where images are encrypted and watermarked before cloud storage; feature vectors are extracted using RDEBP combined with PCA to build a feature vector database; retrieval uses d1 distance metric for similarity measurement after two-stage user verification.</t>
  </si>
  <si>
    <t>A hybrid two-stage framework: (1) BERT-base fine-tuned on the MACCROBAT dataset for initial entity extraction, and (2) a DiRAG module that performs semantic retrieval from a UMLS-based vector database, combines it with lexical re-ranking, and uses prompt-based LLM generation to normalize ambiguous entities.</t>
  </si>
  <si>
    <t>Fine-tuning a Llama3-8B model using LoRA on approximately 20 million tokens of clinical records and TCM knowledge, augmented with a Retrieval-Augmented Generation pipeline backed by a dedicated TCM gastroenterology vector database, ShareGPT-style multi-turn dialogue optimization, and an intelligent agent framework for dynamic retrieval.</t>
  </si>
  <si>
    <t>A RAG architecture where PILs from the Austrian Medicinal Product Index are retrieved via API, converted to text, split into overlapping chunks, embedded, and stored in a Chroma vector database. Top-k relevant chunks are retrieved and Llama 3.1 generates German responses. Evaluation uses a hybrid framework: quantitative (200 yes/no questions across ten drugs, measuring accuracy, precision, recall, F1, response time) and qualitative (two personas in eight simulated dialogues assessing task completion, relevance, and quantity).</t>
  </si>
  <si>
    <t>Adopts the ReAct framework's tool-calling architecture with Self-Discover atomic reasoning; selectively queries multiple biomedical knowledge bases (44 million documents) using map-reduce tools for vector database retrieval, external API calls, and NER tool integration; evaluated on BioASQ-12B, LitQA-v2, MedQA, GeneTuring, and an in-house dataset.</t>
  </si>
  <si>
    <t>Fine-tuning a Mixtral-8x7B-Instruct base model on de-identified EHR data (MIMIC-IV), optionally grounding responses via RAG from open medical references, then evaluating on the MultiMedQA benchmark suite (MedQA, PubMedQA, MedMCQA, MMLU medical subjects) under a deterministic single-pass protocol, with ablation experiments isolating fine-tuning vs. RAG contributions and a qualitative error analysis of 200 items.</t>
  </si>
  <si>
    <t>Combining a GraphRAG architecture (knowledge graph for structured domain knowledge plus a vector database for semantic retrieval) with LoRA fine-tuning of the LLaMA 3.1 model, deployed privately via the Ollama framework. A risk-aware corpus of over 200,000 annotated social-media messages was constructed with four-level labels for suicidal and depressive tendencies.</t>
  </si>
  <si>
    <t>The framework transforms user narratives into Sentence-BERT embeddings, stores them in a ChromaDB vector database, retrieves semantically similar narratives from a knowledge base, and feeds the retrieved context to the LLaMA 3.1 language model to generate structured mental health assessments with confidence scores, risk levels, and explanations, presented via a Streamlit dashboard.</t>
  </si>
  <si>
    <t>A multi-strategy RAG framework (MS-RAG) combining a dual-track retrieval mechanism built on a dynamic vector database, a multi-stage Chain-of-Thought strategy, a multi-metric heuristic using graph-theoretic features, and a dynamic selection mechanism that adaptively fuses structural and semantic signals.</t>
  </si>
  <si>
    <t>ERQA; BioMedLM; BioGPT; PMC-Llama</t>
  </si>
  <si>
    <t>Faiss; GPT (Generative Pre-trained Transformer)</t>
  </si>
  <si>
    <t>UMLS; BERT; BioBERT; ClinicalBERT; MACCROBAT; AGBONNET; MIMIC-III</t>
  </si>
  <si>
    <t>Llama3-8B; ChatGLM-6B; Qwen-2; GPT-4; GPT-3.5; Gemini Pro; Clinfo.ai; RISE</t>
  </si>
  <si>
    <t>Chroma; Llama 3.1; Rasa; BERT; PharmaBulaBot; MediScan; ChatGPT</t>
  </si>
  <si>
    <t>Med.ai ASK; RAG-HAT; HippoRAG; DMIIP; UR-IW; MiBi; Med-PALM2; Med-Gemini; MemGPT; Memory OS; GPT-4.1</t>
  </si>
  <si>
    <t>FAISS; Mixtral-8x7B-Instruct; GPT-3.5; GPT-4; ChatGPT</t>
  </si>
  <si>
    <t>LLaMA 3.1; Ollama; DeepSeek V3; Qwen 2.5; ELECTRA; Sentence-BERT (SBERT)</t>
  </si>
  <si>
    <t>ChromaDB; LLaMA 3.1; Sentence-BERT; Streamlit; BERT</t>
  </si>
  <si>
    <t>Cancer genomics and RNA biology (uveal melanoma)</t>
  </si>
  <si>
    <t>Medical image retrieval (lung, liver, kidney, brain images) for clinical diagnosis and medical research</t>
  </si>
  <si>
    <t>Biomedical knowledge retrieval and question-answering</t>
  </si>
  <si>
    <t>Medical image retrieval (CBMIR) for diagnosis and educational research, tested on gray-level images of lung, liver, kidney, and brain.</t>
  </si>
  <si>
    <t>Online symptom checking and medical advice / healthcare accessibility</t>
  </si>
  <si>
    <t>Medical image retrieval (brain tumour classification: meningioma, glioma, pituitary tumor)</t>
  </si>
  <si>
    <t>Clinical NLP / medical information extraction / clinical Named Entity Recognition</t>
  </si>
  <si>
    <t>TCM gastroenterology diagnosis and treatment support</t>
  </si>
  <si>
    <t>Healthcare: medication information retrieval from patient information leaflets (PILs) for patients with varying health literacy levels</t>
  </si>
  <si>
    <t>Biomedical question answering, clinical QA, literature search, gene/drug information retrieval</t>
  </si>
  <si>
    <t>Medical question answering and clinical decision support in emergency medicine</t>
  </si>
  <si>
    <t>Adolescent mental-health monitoring (suicidal and depressive tendency detection) on social media text</t>
  </si>
  <si>
    <t>Mental health risk assessment and clinical psychology (multi-class: Depression, Anxiety, Stress, Bipolar Disorder, Personality Disorder, Suicidal Ideation, Normal behavior)</t>
  </si>
  <si>
    <t>Disease comorbidity prediction and biomedical knowledge reasoning over disease-symptom networks</t>
  </si>
  <si>
    <t>The paper presents VECTOR, a web-based database that integrates TCGA-derived expression correlations among miRNAs, lncRNAs, and mRNAs with RNA-RNA interaction data, sense-antisense overlapping information, and transcription factor binding data for uveal melanoma. The database allows users to query by gene name and visualize ceRNA networks as interactive graphs with heatmaps. The authors validated their approach by confirming several network motifs (e.g., LINC00518/miR-199a-5p axis) and transcription factor regulations (e.g., CREB1, GABPA, SOX2) against existing literature. They also analyzed sense-antisense expression correlations, finding positive correlations most common in divergent pairs (over 80%) and negative correlations more frequent in convergent pairs (28.3% vs. 16.8%). The tool is presented as the most comprehensive integrated resource for RNA signaling in this rare intraocular cancer.</t>
  </si>
  <si>
    <t>The FOCS framework was evaluated on a database of 1000 gray-level medical images of various body parts. Feature extraction achieved approximately 90% performance, and the optimization/classification phase also reached about 90% performance. In comparative testing on 54 lung image samples, the proposed Fuzzy PSO-RVM method converged faster and achieved higher precision and recall than PSO-SVM and PSO-RVM baselines. The authors conclude that the combined approach of multi-feature extraction, optimization, classification, and Euclidean similarity outperforms existing CBMIR systems in retrieval accuracy and speed.</t>
  </si>
  <si>
    <t>The paper proposes ERQA, a framework that combines an enhanced LLM with a semantic vector database and a curated literature repository for medical knowledge retrieval and QA. On the COVID-19 dataset, ERQA-13B achieves NDCG@10 of 0.297, Recall@10 of 0.347, and MRR of 0.370 for retrieval, ROUGE-1 of 0.434 for abstract summarization, and BLEU-1 of 7.851 for QA. Comparable performance on the TripClick dataset demonstrates adaptability across diverse medical topics. The authors identify hallucination in LLM-generated responses and suboptimal text segmentation granularity as key challenges affecting retrieval and QA quality. The framework is positioned as a step toward efficient biomedical knowledge discovery.</t>
  </si>
  <si>
    <t>The paper proposes the FPSO-ACO-FRVM unified framework to address feature dimensionality reduction in medical image retrieval. The system was implemented on a database of 1000 gray-level medical images and evaluated using precision and recall. The combined approach achieved approximately 96% performance in both feature selection and classification phases, outperforming FPSO-FRVM, PSO-RVM, and PSO-SVM baselines. The FPSO-ACO component successfully overcame local optima issues of standard PSO, and FRVM reduced the number of relevance vectors compared to unoptimized approaches. Overall, the framework demonstrated improved accuracy and reduced computational complexity for medical image retrieval.</t>
  </si>
  <si>
    <t>The paper proposes and describes an architecture combining a Vector Database, Faiss, and GPT API for an online symptom checker. The system reportedly demonstrates high accuracy in intent identification, relevance in test suggestions, and quality in response generation. Incorporation of conversation history and context summarization enables tailored responses, enhancing user satisfaction. The authors conclude the architecture highlights the potential of AI in improving healthcare accessibility and reducing unnecessary medical visits. No quantitative benchmark results or comparative evaluations against other systems are reported in the provided text.</t>
  </si>
  <si>
    <t>The paper proposes a two-step security approach (encryption + watermark embedding) for cloud-based medical image retrieval, evaluated on a Brain Tumour dataset of ~3065 images from 234 patients. Feature vectors are constructed using RDEBP combined with PCA, and retrieval is performed via d1 distance metric. The authors report retrieval accuracy in terms of mean average precision and recall, comparing against existing methods. Security analyses confirm robustness of the watermark-encryption scheme against unauthorized duplication and access. The approach is validated as both secure and efficient for sensitive medical imaging applications.</t>
  </si>
  <si>
    <t>The fine-tuned BERT model achieved an F1 score of 0.708 on the MACCROBAT dataset, outperforming domain-specific baselines including BioBERT and ClinicalBERT. The DiRAG module, which selectively normalizes only ambiguous or abbreviated entities using semantic retrieval from a UMLS-based vector database combined with lexical re-ranking and LLM prompting, further improved the interpretability and clinical relevance of extracted entities. Qualitative case studies demonstrated that the framework mitigates common issues such as abbreviation ambiguity and terminology inconsistency. The authors conclude that the hybrid approach offers a scalable and explainable method for clinical NER that aligns with real-world healthcare needs.</t>
  </si>
  <si>
    <t>The authors built GastroTCM by fine-tuning Llama3-8B with LoRA and integrating a RAG pipeline with a dedicated TCM gastroenterology vector database, multi-turn dialogue optimization, and an intelligent agent. In automatic evaluations, GastroTCM outperformed ChatGLM-6B and Qwen-2 baselines in single-turn dialogue (BLEU 0.334 vs. 0.172–0.246) and multi-turn consultations (proactive clinically appropriate interactions in 27/60 cases vs. ≤2/60). Expert review by TCM gastroenterologists confirmed higher diagnostic accuracy and safety, with the RAG module markedly reducing unsupported or hallucinated statements (expert-verified win rate of 60%). The system demonstrated that domain-specific, retrieval-enhanced LLMs can augment TCM practitioners in gastroenterology.</t>
  </si>
  <si>
    <t>MediChat achieved 80% accuracy, precision of 0.977, recall of 0.686, and F1-score of 0.806 on 200 binary questions across ten drugs, with a mean response time of 727 ms. A no-RAG baseline (Llama 3.1 without leaflet retrieval) dropped to 71% accuracy, confirming the contribution of retrieval grounding. Qualitative persona-based dialogues showed task completion above 85% and response times of 1.1-1.3 s, with high ratings for relevance and quantity. The F1-score of 80.57% surpassed comparable healthcare chatbots in the literature. The authors note that the evaluation is exploratory due to the limited scope (ten drugs, 200 questions, two dialogues) and that broader testing is needed.</t>
  </si>
  <si>
    <t>The paper presents Med.ai ASK, an agentic QA system that orchestrates multiple retrieval tools over 44 million biomedical documents. Human and LLM-based evaluations show strong performance and stability, with superior accuracy, faithfulness, and factuality in long-form answers while reducing hallucinations compared to baselines. For short-form and multiple-choice answers, performance is competitive with state-of-the-art systems like Med-PALM2 and Med-Gemini. Ablation studies show that incorporating all tools does not always improve performance, and the agent performed worse on MedQA and GeneTuring where additional resources beyond literature are needed. The system was deployed in a production chat platform serving over 1600 users with 25,000 answered questions.</t>
  </si>
  <si>
    <t>AIDx-Copilot achieves a mean accuracy of 83.61% (SD 7.37) across nine MultiMedQA subsets under a deterministic single-pass protocol. Ablation experiments show that EHR-based fine-tuning accounts for the majority of the performance gain (+17.8 percentage points over the base model), while RAG provides only a modest additional benefit (+0.4 points on average). A qualitative error analysis of 200 incorrectly answered items identifies knowledge gaps (41.0%) and reasoning errors (38.0%) as the dominant failure modes. Under the quantized on-premises configuration, the system achieves a median latency of 0.84 seconds per query and fits within 28.1 GB of VRAM across two commodity GPUs.</t>
  </si>
  <si>
    <t>SentinelGPT was evaluated against DeepSeek V3, Qwen 2.5, Fine-tuned Qwen 2.5, and ELECTRA on both suicidal-tendency and depressive-tendency detection tasks, achieving higher precision-recall balance and superior F1-scores. Ablation studies confirmed that the synergistic integration of GraphRAG and LoRA fine-tuning enables semantic coherence in multi-turn dialogue and interpretable retrieval-generation. The model effectively distinguishes normal emotional expressions from varying levels of psychological risk, with particular strength in subtle risk-level distinctions. The system also addresses data sparsity, semantic ambiguity in metaphorical language, and privacy concerns through private deployment.</t>
  </si>
  <si>
    <t>The MindMatrix framework was evaluated on a mental health dataset containing narratives associated with multiple psychological conditions. Experimental observations showed that semantic retrieval improved contextual understanding and enhanced the quality of generated assessments by providing relevant evidence to the language model. The use of Sentence-BERT embeddings enabled effective similarity search, while ChromaDB facilitated retrieval operations and LLaMA 3.1 generated detailed assessment reports. The Streamlit dashboard improved usability by presenting results interactively. Overall, the integration of semantic retrieval with language generation improved transparency and enabled evidence-based, explainable assessment compared to standalone LLM approaches.</t>
  </si>
  <si>
    <t>The proposed MS-RAG framework was evaluated on HDN and HSDN datasets for link prediction tasks, achieving AUC improvements of 10.41% and 5.88%, AP improvements of 9.70% and 5.10%, and F1-score improvements of 8.37% and 3.65% over state-of-the-art baselines. Empirical case studies validated the model's ability to identify clinically relevant biomedical pathways such as chronic-inflammation cascades and electrolyte-imbalance mechanisms. Comparative evaluation across LLM backbones (GPT-4o-mini, Qwen3plus, Llama3, DeepSeek-R1) showed the framework's robustness and cost-effectiveness. Ablation and zero-shot/few-shot experiments further confirmed the model's generalizability and interpretability.</t>
  </si>
  <si>
    <t>The UM TCGA dataset lacks physiological tissue data, preventing direct tumor-versus-normal comparisons; Stratification by clinicopathological features creates subgroups with low sample sizes, impairing statistical power; Multiple splicing variants of sense and antisense transcripts create a complex and heterogeneous scenario where no clear classification of overlapping regions was possible</t>
  </si>
  <si>
    <t>Difficulty of retrieving articles that adequately satisfy user requirements due to complex medical literature content; Choosing optimal text segmentation granularity is challenging: too coarse leads to information overload or context loss, too fine risks omitting critical information; Selecting the appropriate hidden layer for embedding generation significantly affects retrieval quality; Hallucination in LLMs causes generated responses to diverge from reality due to data biases or inconsistencies; Balancing vector embeddings with metadata-based matching requires careful design to maximize accuracy and interpretability</t>
  </si>
  <si>
    <t>Impulsive convergence occurs in the feature selection phase when particle and cluster solutions narrow into local minimums during the search process; Parameter selection needs to be done in a more elegant way (acknowledged as a shortcoming)</t>
  </si>
  <si>
    <t>Manual evaluation of RAG-enhanced outputs was conducted on only 10 clinical notes, limiting the scope of qualitative insights; Evaluators were not trained medical professionals, raising the possibility of errors in assessing clinical appropriateness of substitutions; Evaluation is based on MACCROBAT and AGBONNET corpora comprising only 300 notes from limited specialties</t>
  </si>
  <si>
    <t>GastroTCM is not intended to replace medical professionals; The system currently handles only text-based inputs without multimodal capabilities such as tongue coating image analysis; Cross-disease generalization beyond gastroenterology has not yet been addressed; Real-world clinical trials have not yet been conducted</t>
  </si>
  <si>
    <t>Evaluation limited to ten medications and 200 binary questions, making findings exploratory rather than generalizable; Binary questions are rarely real user questions, so outcomes may differ in real-world settings; Ground truth generation using the same AI tool may introduce systematic bias; No additional manual verification of a random subset of the full 200 questions was conducted; Manual qualitative rating is subjective despite pre-formulated conditions; Absence of independent expert verification may lead to misclassification; The chatbot is locally deployed, so response times may vary on different servers; No user interface, safety disclaimers, or frontend integration yet implemented; No usability testing with end-users was conducted; Lack of standard evaluation frameworks in the literature makes cross-study comparisons challenging</t>
  </si>
  <si>
    <t>Human evaluation used only 20 questions, limiting the assessment scope; Agent performed worse on MedQA and GeneTuring datasets requiring resources beyond literature (e.g., medical textbooks, GeneOntology); Incorporating all available tools does not necessarily improve overall performance due to potential confusion in the LLM's decision-making; Outdated ground truths in BioASQ-12B and MedQA make evaluation challenging and can cause correct updated answers to be misclassified as hallucinations; Generated answers tend to be more verbose than those from other systems</t>
  </si>
  <si>
    <t>No clinical trials, usability testing, or retrospective chart review were conducted; results should not be interpreted as evidence of clinical effectiveness or safety.; The system is single-modal (text only) and does not ingest imaging or waveform data.; The error analysis is based on a stratified sample of 200 items with manual coding by a single reviewer; inter-rater reliability was not assessed.; The ablation study varies configurations on standard benchmarks and does not include clinical task evaluations.; Operational metrics were measured on a specific hardware configuration; actual deployment performance will vary with hardware, concurrent load, and query complexity.</t>
  </si>
  <si>
    <t>The model is designed only as an assistive tool; outputs must be reviewed by qualified mental-health professionals before informing intervention decisions; Confidence calibration and fairness evaluation are not yet fully addressed; The dataset is limited to a single Micro-blog 'Tree Hole' (the 'Zoufan' tree hole) from 2012–2014, which may limit generalizability</t>
  </si>
  <si>
    <t>Quality of generated assessments depends on the diversity and quality of the stored mental health narratives; The system only processes textual information and does not incorporate speech, facial expressions, or physiological signals; The framework should be considered a supportive assessment tool rather than a replacement for professional mental health diagnosis</t>
  </si>
  <si>
    <t>Current RAG implementations compromise semantic coherence by relying on fixed chunking strategies; Structural information for disease networks is generally extracted using a single metric regardless of complex biological mechanisms; Conventional Chain-of-Thought prompts are susceptible to error propagation due to dependence on coarse-grained entity extraction; The model's complexity needs to be reduced while maintaining disease comorbidity prediction performance</t>
  </si>
  <si>
    <t>The exact molecular mechanism underlying co-regulation or inverse correlation of sense and antisense transcripts is still under investigation; The VECTOR approach could be extended to build similar tools for other cancer models</t>
  </si>
  <si>
    <t>Developing an auxiliary retrieval strategy tailored to LLMs; Incorporating external knowledge sources and verification mechanisms to validate and refine model-generated responses and mitigate hallucination; Incorporating larger-scale biomedical literature datasets; Adopting additional evaluation metrics to further enhance model performance</t>
  </si>
  <si>
    <t>Parameter selection should be taken in a more elegant way in future work</t>
  </si>
  <si>
    <t>Expanding the knowledge base; Integrating with electronic health records; Supporting multiple languages; Implementing continuous learning mechanisms</t>
  </si>
  <si>
    <t>Larger-scale validation on 500 or more notes is needed to provide stronger evidence of generalizability; Expert validation by trained medical professionals is needed for a more reliable measure of clinical relevance; Testing on broader and more diverse corpora such as MIMIC-III or multi-institution datasets is needed to fully establish generalizability</t>
  </si>
  <si>
    <t>Expanding multimodal inputs (e.g., tongue coating image analysis); Improving cross-disease generalization; Conducting real-world clinical trials</t>
  </si>
  <si>
    <t>Broader evaluation on a larger set of package inserts with expert ratings is required; Improved transparency of the chatbot's decision process, including why no 'empty' responses were produced; Automated de-duplication or manual screening to remove near-duplicate questions before evaluation; Systematic evaluation of retrieval settings and hyperparameters (chunking and top-k); Systematic evaluation of the impact of retrieval choices, embedding model selection, and alternative vector databases; Long-term robustness via continuous monitoring and periodic regression tests for real-world deployment; Integration of a frontend for smartphone application deployment with safety disclaimers; Usability testing with end-users to improve accessibility; Development of a standard evaluation framework for healthcare chatbots</t>
  </si>
  <si>
    <t>Improve the retrieval step by using snippet extraction and ranking to reduce noisy information fed into the generation step; Integrate web search tools to access resources beyond the ingested literature; Connect with stakeholders' internal tools and databases to enrich underlying knowledge bases; Enhance the memory mechanism using methods such as MemGPT and Memory OS</t>
  </si>
  <si>
    <t>An IRB-approved study measuring task completion time, clinician agreement, error interception, and perceived workload with and without AIDx.; Expand the error analysis with multiple reviewers and inter-rater agreement.; Evaluate failure modes on clinical (non-benchmark) tasks.; Compare against fully replicable open baselines under the same deterministic protocol.; Expand the system to multimodal inputs where appropriate.</t>
  </si>
  <si>
    <t>Expanding knowledge sources on adolescent suicidal ideation by incorporating professional research findings and clinical case data; Investigating more efficient fine-tuning strategies such as QLoRA to enhance adaptability while reducing resource consumption; Integrating multimodal data including speech and visual cues to better capture emotional tone and behavioural signals; Improving confidence calibration and fairness evaluation to mitigate ethical concerns</t>
  </si>
  <si>
    <t>Many existing mental health assessment systems focus solely on classification tasks and provide limited explanations for predictions; Traditional approaches often support only a small number of mental health categories and lack comprehensive multi-class assessment capabilities; Standalone language models may generate responses without incorporating relevant contextual evidence; Many existing systems do not provide transparent and explainable outputs that help users understand the reasoning behind generated assessments</t>
  </si>
  <si>
    <t>Reducing the complexity of the model while maintaining disease comorbidity prediction performance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</si>
</sst>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numFmts>
  <fonts count="5" x14ac:knownFonts="1">
    <font>
      <sz val="11"/>
      <color theme="1"/>
      <name val="Calibri"/>
      <family val="2"/>
      <scheme val="minor"/>
    </font>
    <font>
      <u/>
      <sz val="11"/>
      <color theme="10"/>
      <name val="Calibri"/>
      <family val="2"/>
    </font>
    <font>
      <b/>
      <sz val="11"/>
      <color theme="1"/>
      <name val="Calibri"/>
      <family val="2"/>
      <scheme val="minor"/>
    </font>
    <font>
      <sz val="9"/>
      <color indexed="81"/>
      <name val="Segoe UI"/>
      <charset val="1"/>
    </font>
    <font>
      <sz val="9"/>
      <color indexed="81"/>
      <name val="Segoe UI"/>
      <family val="2"/>
    </font>
  </fonts>
  <fills count="3">
    <fill>
      <patternFill patternType="none"/>
    </fill>
    <fill>
      <patternFill patternType="gray125"/>
    </fill>
    <fill>
      <patternFill patternType="solid">
        <fgColor theme="0" tint="-0.149967955565050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7">
    <xf numFmtId="0" fontId="0" fillId="0" borderId="0" xfId="0"/>
    <xf numFmtId="164" fontId="0" fillId="0" borderId="0" xfId="0" applyNumberFormat="1"/>
    <xf numFmtId="0" fontId="0" fillId="0" borderId="1" xfId="0" applyBorder="1"/>
    <xf numFmtId="0" fontId="1" fillId="0" borderId="1" xfId="1" applyBorder="1" applyAlignment="1" applyProtection="1"/>
    <xf numFmtId="164" fontId="0" fillId="0" borderId="1" xfId="0" applyNumberFormat="1" applyBorder="1"/>
    <xf numFmtId="0" fontId="2" fillId="2" borderId="1" xfId="0" applyFont="1" applyFill="1" applyBorder="1"/>
    <xf numFmtId="0" fontId="1" fillId="2" borderId="1" xfId="1" applyFill="1" applyBorder="1" applyAlignment="1" applyProtection="1"/>
  </cellXfs>
  <cellStyles count="2">
    <cellStyle name="Link" xfId="1" builtinId="8"/>
    <cellStyle name="Standard" xfId="0" builtinId="0"/>
  </cellStyles>
  <dxfs count="15">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openalex.org/works/W4409825362"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hyperlink" Target="https://openalex.org/works/W4255000078" TargetMode="External"/><Relationship Id="rId13" Type="http://schemas.openxmlformats.org/officeDocument/2006/relationships/hyperlink" Target="https://openalex.org/works/W4411350044" TargetMode="External"/><Relationship Id="rId18" Type="http://schemas.openxmlformats.org/officeDocument/2006/relationships/hyperlink" Target="https://openalex.org/works/W4415425340" TargetMode="External"/><Relationship Id="rId26" Type="http://schemas.openxmlformats.org/officeDocument/2006/relationships/hyperlink" Target="https://openalex.org/works/W4392631937" TargetMode="External"/><Relationship Id="rId3" Type="http://schemas.openxmlformats.org/officeDocument/2006/relationships/hyperlink" Target="https://openalex.org/works/W4409147094" TargetMode="External"/><Relationship Id="rId21" Type="http://schemas.openxmlformats.org/officeDocument/2006/relationships/hyperlink" Target="https://openalex.org/works/W7123361798" TargetMode="External"/><Relationship Id="rId7" Type="http://schemas.openxmlformats.org/officeDocument/2006/relationships/hyperlink" Target="https://openalex.org/works/W4412899694" TargetMode="External"/><Relationship Id="rId12" Type="http://schemas.openxmlformats.org/officeDocument/2006/relationships/hyperlink" Target="https://openalex.org/works/W4403276519" TargetMode="External"/><Relationship Id="rId17" Type="http://schemas.openxmlformats.org/officeDocument/2006/relationships/hyperlink" Target="https://openalex.org/works/W4415352366" TargetMode="External"/><Relationship Id="rId25" Type="http://schemas.openxmlformats.org/officeDocument/2006/relationships/hyperlink" Target="https://openalex.org/works/W7169727378" TargetMode="External"/><Relationship Id="rId2" Type="http://schemas.openxmlformats.org/officeDocument/2006/relationships/hyperlink" Target="https://openalex.org/works/W2077793746" TargetMode="External"/><Relationship Id="rId16" Type="http://schemas.openxmlformats.org/officeDocument/2006/relationships/hyperlink" Target="https://openalex.org/works/W4398251864" TargetMode="External"/><Relationship Id="rId20" Type="http://schemas.openxmlformats.org/officeDocument/2006/relationships/hyperlink" Target="https://openalex.org/works/W4413563495" TargetMode="External"/><Relationship Id="rId29" Type="http://schemas.openxmlformats.org/officeDocument/2006/relationships/vmlDrawing" Target="../drawings/vmlDrawing2.vml"/><Relationship Id="rId1" Type="http://schemas.openxmlformats.org/officeDocument/2006/relationships/hyperlink" Target="https://openalex.org/works/W4396792104" TargetMode="External"/><Relationship Id="rId6" Type="http://schemas.openxmlformats.org/officeDocument/2006/relationships/hyperlink" Target="https://openalex.org/works/W4405963353" TargetMode="External"/><Relationship Id="rId11" Type="http://schemas.openxmlformats.org/officeDocument/2006/relationships/hyperlink" Target="https://openalex.org/works/W4413078261" TargetMode="External"/><Relationship Id="rId24" Type="http://schemas.openxmlformats.org/officeDocument/2006/relationships/hyperlink" Target="https://openalex.org/works/W7164495097" TargetMode="External"/><Relationship Id="rId5" Type="http://schemas.openxmlformats.org/officeDocument/2006/relationships/hyperlink" Target="https://openalex.org/works/W4402308794" TargetMode="External"/><Relationship Id="rId15" Type="http://schemas.openxmlformats.org/officeDocument/2006/relationships/hyperlink" Target="https://openalex.org/works/W4403153405" TargetMode="External"/><Relationship Id="rId23" Type="http://schemas.openxmlformats.org/officeDocument/2006/relationships/hyperlink" Target="https://openalex.org/works/W7168442217" TargetMode="External"/><Relationship Id="rId28" Type="http://schemas.openxmlformats.org/officeDocument/2006/relationships/hyperlink" Target="https://openalex.org/works/W7167919148" TargetMode="External"/><Relationship Id="rId10" Type="http://schemas.openxmlformats.org/officeDocument/2006/relationships/hyperlink" Target="https://openalex.org/works/W4415031233" TargetMode="External"/><Relationship Id="rId19" Type="http://schemas.openxmlformats.org/officeDocument/2006/relationships/hyperlink" Target="https://openalex.org/works/W4416296392" TargetMode="External"/><Relationship Id="rId4" Type="http://schemas.openxmlformats.org/officeDocument/2006/relationships/hyperlink" Target="https://openalex.org/works/W4396655358" TargetMode="External"/><Relationship Id="rId9" Type="http://schemas.openxmlformats.org/officeDocument/2006/relationships/hyperlink" Target="https://openalex.org/works/W4414475265" TargetMode="External"/><Relationship Id="rId14" Type="http://schemas.openxmlformats.org/officeDocument/2006/relationships/hyperlink" Target="https://openalex.org/works/W4411105389" TargetMode="External"/><Relationship Id="rId22" Type="http://schemas.openxmlformats.org/officeDocument/2006/relationships/hyperlink" Target="https://openalex.org/works/W7162015458" TargetMode="External"/><Relationship Id="rId27" Type="http://schemas.openxmlformats.org/officeDocument/2006/relationships/hyperlink" Target="https://openalex.org/works/W4411870291" TargetMode="External"/><Relationship Id="rId30"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hyperlink" Target="https://openalex.org/works/W4416994072"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hyperlink" Target="https://openalex.org/works/W4391267397"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openalex.org/works/W7125409037" TargetMode="External"/><Relationship Id="rId13" Type="http://schemas.openxmlformats.org/officeDocument/2006/relationships/hyperlink" Target="https://openalex.org/works/W7164861125" TargetMode="External"/><Relationship Id="rId3" Type="http://schemas.openxmlformats.org/officeDocument/2006/relationships/hyperlink" Target="https://openalex.org/works/W4407959012" TargetMode="External"/><Relationship Id="rId7" Type="http://schemas.openxmlformats.org/officeDocument/2006/relationships/hyperlink" Target="https://openalex.org/works/W4414288073" TargetMode="External"/><Relationship Id="rId12" Type="http://schemas.openxmlformats.org/officeDocument/2006/relationships/hyperlink" Target="https://openalex.org/works/W7164742938" TargetMode="External"/><Relationship Id="rId2" Type="http://schemas.openxmlformats.org/officeDocument/2006/relationships/hyperlink" Target="https://openalex.org/works/W1967328652" TargetMode="External"/><Relationship Id="rId16" Type="http://schemas.openxmlformats.org/officeDocument/2006/relationships/comments" Target="../comments5.xml"/><Relationship Id="rId1" Type="http://schemas.openxmlformats.org/officeDocument/2006/relationships/hyperlink" Target="https://openalex.org/works/W3174800867" TargetMode="External"/><Relationship Id="rId6" Type="http://schemas.openxmlformats.org/officeDocument/2006/relationships/hyperlink" Target="https://openalex.org/works/W4404867015" TargetMode="External"/><Relationship Id="rId11" Type="http://schemas.openxmlformats.org/officeDocument/2006/relationships/hyperlink" Target="https://openalex.org/works/W7164338188" TargetMode="External"/><Relationship Id="rId5" Type="http://schemas.openxmlformats.org/officeDocument/2006/relationships/hyperlink" Target="https://openalex.org/works/W4399233786" TargetMode="External"/><Relationship Id="rId15" Type="http://schemas.openxmlformats.org/officeDocument/2006/relationships/vmlDrawing" Target="../drawings/vmlDrawing5.vml"/><Relationship Id="rId10" Type="http://schemas.openxmlformats.org/officeDocument/2006/relationships/hyperlink" Target="https://openalex.org/works/W7143423157" TargetMode="External"/><Relationship Id="rId4" Type="http://schemas.openxmlformats.org/officeDocument/2006/relationships/hyperlink" Target="https://openalex.org/works/W2039083336" TargetMode="External"/><Relationship Id="rId9" Type="http://schemas.openxmlformats.org/officeDocument/2006/relationships/hyperlink" Target="https://openalex.org/works/W7134234604" TargetMode="External"/><Relationship Id="rId14" Type="http://schemas.openxmlformats.org/officeDocument/2006/relationships/hyperlink" Target="https://openalex.org/works/W71639943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100"/>
  <sheetViews>
    <sheetView tabSelected="1" workbookViewId="0">
      <selection activeCell="R3" sqref="R3"/>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18</v>
      </c>
      <c r="B2" s="3" t="s">
        <v>19</v>
      </c>
      <c r="C2" s="2" t="s">
        <v>20</v>
      </c>
      <c r="D2" s="2" t="s">
        <v>21</v>
      </c>
      <c r="E2" s="2">
        <v>10</v>
      </c>
      <c r="F2" s="2" t="s">
        <v>22</v>
      </c>
      <c r="G2" s="2" t="s">
        <v>23</v>
      </c>
      <c r="H2" s="4" t="s">
        <v>24</v>
      </c>
      <c r="I2" s="4" t="s">
        <v>25</v>
      </c>
      <c r="J2" s="4" t="s">
        <v>26</v>
      </c>
      <c r="K2" s="4" t="s">
        <v>27</v>
      </c>
      <c r="L2" s="4" t="s">
        <v>28</v>
      </c>
      <c r="M2" s="4"/>
      <c r="N2" s="4" t="s">
        <v>29</v>
      </c>
      <c r="O2" s="4" t="s">
        <v>30</v>
      </c>
      <c r="P2" s="4" t="s">
        <v>31</v>
      </c>
      <c r="Q2" s="4" t="s">
        <v>32</v>
      </c>
      <c r="R2" s="2" t="s">
        <v>33</v>
      </c>
      <c r="S2" s="6" t="str">
        <f>HYPERLINK(B2,"link")</f>
        <v>link</v>
      </c>
      <c r="T2" s="6" t="str">
        <f>HYPERLINK(C2,"pdf")</f>
        <v>pdf</v>
      </c>
    </row>
    <row r="3" spans="1:20" x14ac:dyDescent="0.25">
      <c r="H3" s="1"/>
      <c r="I3" s="1"/>
      <c r="J3" s="1"/>
      <c r="K3" s="1"/>
      <c r="L3" s="1"/>
      <c r="M3" s="1"/>
      <c r="N3" s="1"/>
      <c r="O3" s="1"/>
      <c r="P3" s="1"/>
      <c r="Q3" s="1"/>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row r="15" spans="1:20" x14ac:dyDescent="0.25">
      <c r="H15" s="1"/>
      <c r="I15" s="1"/>
      <c r="J15" s="1"/>
      <c r="K15" s="1"/>
      <c r="L15" s="1"/>
      <c r="M15" s="1"/>
      <c r="N15" s="1"/>
      <c r="O15" s="1"/>
      <c r="P15" s="1"/>
      <c r="Q15" s="1"/>
    </row>
    <row r="16" spans="1:20" x14ac:dyDescent="0.25">
      <c r="H16" s="1"/>
      <c r="I16" s="1"/>
      <c r="J16" s="1"/>
      <c r="K16" s="1"/>
      <c r="L16" s="1"/>
      <c r="M16" s="1"/>
      <c r="N16" s="1"/>
      <c r="O16" s="1"/>
      <c r="P16" s="1"/>
      <c r="Q16" s="1"/>
    </row>
    <row r="17" spans="8:17" x14ac:dyDescent="0.25">
      <c r="H17" s="1"/>
      <c r="I17" s="1"/>
      <c r="J17" s="1"/>
      <c r="K17" s="1"/>
      <c r="L17" s="1"/>
      <c r="M17" s="1"/>
      <c r="N17" s="1"/>
      <c r="O17" s="1"/>
      <c r="P17" s="1"/>
      <c r="Q17" s="1"/>
    </row>
    <row r="18" spans="8:17" x14ac:dyDescent="0.25">
      <c r="H18" s="1"/>
      <c r="I18" s="1"/>
      <c r="J18" s="1"/>
      <c r="K18" s="1"/>
      <c r="L18" s="1"/>
      <c r="M18" s="1"/>
      <c r="N18" s="1"/>
      <c r="O18" s="1"/>
      <c r="P18" s="1"/>
      <c r="Q18" s="1"/>
    </row>
    <row r="19" spans="8:17" x14ac:dyDescent="0.25">
      <c r="H19" s="1"/>
      <c r="I19" s="1"/>
      <c r="J19" s="1"/>
      <c r="K19" s="1"/>
      <c r="L19" s="1"/>
      <c r="M19" s="1"/>
      <c r="N19" s="1"/>
      <c r="O19" s="1"/>
      <c r="P19" s="1"/>
      <c r="Q19" s="1"/>
    </row>
    <row r="20" spans="8:17" x14ac:dyDescent="0.25">
      <c r="H20" s="1"/>
      <c r="I20" s="1"/>
      <c r="J20" s="1"/>
      <c r="K20" s="1"/>
      <c r="L20" s="1"/>
      <c r="M20" s="1"/>
      <c r="N20" s="1"/>
      <c r="O20" s="1"/>
      <c r="P20" s="1"/>
      <c r="Q20" s="1"/>
    </row>
    <row r="21" spans="8:17" x14ac:dyDescent="0.25">
      <c r="H21" s="1"/>
      <c r="I21" s="1"/>
      <c r="J21" s="1"/>
      <c r="K21" s="1"/>
      <c r="L21" s="1"/>
      <c r="M21" s="1"/>
      <c r="N21" s="1"/>
      <c r="O21" s="1"/>
      <c r="P21" s="1"/>
      <c r="Q21" s="1"/>
    </row>
    <row r="22" spans="8:17" x14ac:dyDescent="0.25">
      <c r="H22" s="1"/>
      <c r="I22" s="1"/>
      <c r="J22" s="1"/>
      <c r="K22" s="1"/>
      <c r="L22" s="1"/>
      <c r="M22" s="1"/>
      <c r="N22" s="1"/>
      <c r="O22" s="1"/>
      <c r="P22" s="1"/>
      <c r="Q22" s="1"/>
    </row>
    <row r="23" spans="8:17" x14ac:dyDescent="0.25">
      <c r="H23" s="1"/>
      <c r="I23" s="1"/>
      <c r="J23" s="1"/>
      <c r="K23" s="1"/>
      <c r="L23" s="1"/>
      <c r="M23" s="1"/>
      <c r="N23" s="1"/>
      <c r="O23" s="1"/>
      <c r="P23" s="1"/>
      <c r="Q23" s="1"/>
    </row>
    <row r="24" spans="8:17" x14ac:dyDescent="0.25">
      <c r="H24" s="1"/>
      <c r="I24" s="1"/>
      <c r="J24" s="1"/>
      <c r="K24" s="1"/>
      <c r="L24" s="1"/>
      <c r="M24" s="1"/>
      <c r="N24" s="1"/>
      <c r="O24" s="1"/>
      <c r="P24" s="1"/>
      <c r="Q24" s="1"/>
    </row>
    <row r="25" spans="8:17" x14ac:dyDescent="0.25">
      <c r="H25" s="1"/>
      <c r="I25" s="1"/>
      <c r="J25" s="1"/>
      <c r="K25" s="1"/>
      <c r="L25" s="1"/>
      <c r="M25" s="1"/>
      <c r="N25" s="1"/>
      <c r="O25" s="1"/>
      <c r="P25" s="1"/>
      <c r="Q25" s="1"/>
    </row>
    <row r="26" spans="8:17" x14ac:dyDescent="0.25">
      <c r="H26" s="1"/>
      <c r="I26" s="1"/>
      <c r="J26" s="1"/>
      <c r="K26" s="1"/>
      <c r="L26" s="1"/>
      <c r="M26" s="1"/>
      <c r="N26" s="1"/>
      <c r="O26" s="1"/>
      <c r="P26" s="1"/>
      <c r="Q26" s="1"/>
    </row>
    <row r="27" spans="8:17" x14ac:dyDescent="0.25">
      <c r="H27" s="1"/>
      <c r="I27" s="1"/>
      <c r="J27" s="1"/>
      <c r="K27" s="1"/>
      <c r="L27" s="1"/>
      <c r="M27" s="1"/>
      <c r="N27" s="1"/>
      <c r="O27" s="1"/>
      <c r="P27" s="1"/>
      <c r="Q27" s="1"/>
    </row>
    <row r="28" spans="8:17" x14ac:dyDescent="0.25">
      <c r="H28" s="1"/>
      <c r="I28" s="1"/>
      <c r="J28" s="1"/>
      <c r="K28" s="1"/>
      <c r="L28" s="1"/>
      <c r="M28" s="1"/>
      <c r="N28" s="1"/>
      <c r="O28" s="1"/>
      <c r="P28" s="1"/>
      <c r="Q28" s="1"/>
    </row>
    <row r="29" spans="8:17" x14ac:dyDescent="0.25">
      <c r="H29" s="1"/>
      <c r="I29" s="1"/>
      <c r="J29" s="1"/>
      <c r="K29" s="1"/>
      <c r="L29" s="1"/>
      <c r="M29" s="1"/>
      <c r="N29" s="1"/>
      <c r="O29" s="1"/>
      <c r="P29" s="1"/>
      <c r="Q29" s="1"/>
    </row>
    <row r="30" spans="8:17" x14ac:dyDescent="0.25">
      <c r="H30" s="1"/>
      <c r="I30" s="1"/>
      <c r="J30" s="1"/>
      <c r="K30" s="1"/>
      <c r="L30" s="1"/>
      <c r="M30" s="1"/>
      <c r="N30" s="1"/>
      <c r="O30" s="1"/>
      <c r="P30" s="1"/>
      <c r="Q30" s="1"/>
    </row>
    <row r="31" spans="8:17" x14ac:dyDescent="0.25">
      <c r="H31" s="1"/>
      <c r="I31" s="1"/>
      <c r="J31" s="1"/>
      <c r="K31" s="1"/>
      <c r="L31" s="1"/>
      <c r="M31" s="1"/>
      <c r="N31" s="1"/>
      <c r="O31" s="1"/>
      <c r="P31" s="1"/>
      <c r="Q31" s="1"/>
    </row>
    <row r="32" spans="8:17"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row r="41" spans="8:17" x14ac:dyDescent="0.25">
      <c r="H41" s="1"/>
      <c r="I41" s="1"/>
      <c r="J41" s="1"/>
      <c r="K41" s="1"/>
      <c r="L41" s="1"/>
      <c r="M41" s="1"/>
      <c r="N41" s="1"/>
      <c r="O41" s="1"/>
      <c r="P41" s="1"/>
      <c r="Q41" s="1"/>
    </row>
    <row r="42" spans="8:17" x14ac:dyDescent="0.25">
      <c r="H42" s="1"/>
      <c r="I42" s="1"/>
      <c r="J42" s="1"/>
      <c r="K42" s="1"/>
      <c r="L42" s="1"/>
      <c r="M42" s="1"/>
      <c r="N42" s="1"/>
      <c r="O42" s="1"/>
      <c r="P42" s="1"/>
      <c r="Q42" s="1"/>
    </row>
    <row r="43" spans="8:17" x14ac:dyDescent="0.25">
      <c r="H43" s="1"/>
      <c r="I43" s="1"/>
      <c r="J43" s="1"/>
      <c r="K43" s="1"/>
      <c r="L43" s="1"/>
      <c r="M43" s="1"/>
      <c r="N43" s="1"/>
      <c r="O43" s="1"/>
      <c r="P43" s="1"/>
      <c r="Q43" s="1"/>
    </row>
    <row r="44" spans="8:17" x14ac:dyDescent="0.25">
      <c r="H44" s="1"/>
      <c r="I44" s="1"/>
      <c r="J44" s="1"/>
      <c r="K44" s="1"/>
      <c r="L44" s="1"/>
      <c r="M44" s="1"/>
      <c r="N44" s="1"/>
      <c r="O44" s="1"/>
      <c r="P44" s="1"/>
      <c r="Q44" s="1"/>
    </row>
    <row r="45" spans="8:17" x14ac:dyDescent="0.25">
      <c r="H45" s="1"/>
      <c r="I45" s="1"/>
      <c r="J45" s="1"/>
      <c r="K45" s="1"/>
      <c r="L45" s="1"/>
      <c r="M45" s="1"/>
      <c r="N45" s="1"/>
      <c r="O45" s="1"/>
      <c r="P45" s="1"/>
      <c r="Q45" s="1"/>
    </row>
    <row r="46" spans="8:17" x14ac:dyDescent="0.25">
      <c r="H46" s="1"/>
      <c r="I46" s="1"/>
      <c r="J46" s="1"/>
      <c r="K46" s="1"/>
      <c r="L46" s="1"/>
      <c r="M46" s="1"/>
      <c r="N46" s="1"/>
      <c r="O46" s="1"/>
      <c r="P46" s="1"/>
      <c r="Q46" s="1"/>
    </row>
    <row r="47" spans="8:17" x14ac:dyDescent="0.25">
      <c r="H47" s="1"/>
      <c r="I47" s="1"/>
      <c r="J47" s="1"/>
      <c r="K47" s="1"/>
      <c r="L47" s="1"/>
      <c r="M47" s="1"/>
      <c r="N47" s="1"/>
      <c r="O47" s="1"/>
      <c r="P47" s="1"/>
      <c r="Q47" s="1"/>
    </row>
    <row r="48" spans="8:17" x14ac:dyDescent="0.25">
      <c r="H48" s="1"/>
      <c r="I48" s="1"/>
      <c r="J48" s="1"/>
      <c r="K48" s="1"/>
      <c r="L48" s="1"/>
      <c r="M48" s="1"/>
      <c r="N48" s="1"/>
      <c r="O48" s="1"/>
      <c r="P48" s="1"/>
      <c r="Q48" s="1"/>
    </row>
    <row r="49" spans="8:17" x14ac:dyDescent="0.25">
      <c r="H49" s="1"/>
      <c r="I49" s="1"/>
      <c r="J49" s="1"/>
      <c r="K49" s="1"/>
      <c r="L49" s="1"/>
      <c r="M49" s="1"/>
      <c r="N49" s="1"/>
      <c r="O49" s="1"/>
      <c r="P49" s="1"/>
      <c r="Q49" s="1"/>
    </row>
    <row r="50" spans="8:17" x14ac:dyDescent="0.25">
      <c r="H50" s="1"/>
      <c r="I50" s="1"/>
      <c r="J50" s="1"/>
      <c r="K50" s="1"/>
      <c r="L50" s="1"/>
      <c r="M50" s="1"/>
      <c r="N50" s="1"/>
      <c r="O50" s="1"/>
      <c r="P50" s="1"/>
      <c r="Q50" s="1"/>
    </row>
    <row r="51" spans="8:17" x14ac:dyDescent="0.25">
      <c r="H51" s="1"/>
      <c r="I51" s="1"/>
      <c r="J51" s="1"/>
      <c r="K51" s="1"/>
      <c r="L51" s="1"/>
      <c r="M51" s="1"/>
      <c r="N51" s="1"/>
      <c r="O51" s="1"/>
      <c r="P51" s="1"/>
      <c r="Q51" s="1"/>
    </row>
    <row r="52" spans="8:17" x14ac:dyDescent="0.25">
      <c r="H52" s="1"/>
      <c r="I52" s="1"/>
      <c r="J52" s="1"/>
      <c r="K52" s="1"/>
      <c r="L52" s="1"/>
      <c r="M52" s="1"/>
      <c r="N52" s="1"/>
      <c r="O52" s="1"/>
      <c r="P52" s="1"/>
      <c r="Q52" s="1"/>
    </row>
    <row r="53" spans="8:17" x14ac:dyDescent="0.25">
      <c r="H53" s="1"/>
      <c r="I53" s="1"/>
      <c r="J53" s="1"/>
      <c r="K53" s="1"/>
      <c r="L53" s="1"/>
      <c r="M53" s="1"/>
      <c r="N53" s="1"/>
      <c r="O53" s="1"/>
      <c r="P53" s="1"/>
      <c r="Q53" s="1"/>
    </row>
    <row r="54" spans="8:17" x14ac:dyDescent="0.25">
      <c r="H54" s="1"/>
      <c r="I54" s="1"/>
      <c r="J54" s="1"/>
      <c r="K54" s="1"/>
      <c r="L54" s="1"/>
      <c r="M54" s="1"/>
      <c r="N54" s="1"/>
      <c r="O54" s="1"/>
      <c r="P54" s="1"/>
      <c r="Q54" s="1"/>
    </row>
    <row r="55" spans="8:17" x14ac:dyDescent="0.25">
      <c r="H55" s="1"/>
      <c r="I55" s="1"/>
      <c r="J55" s="1"/>
      <c r="K55" s="1"/>
      <c r="L55" s="1"/>
      <c r="M55" s="1"/>
      <c r="N55" s="1"/>
      <c r="O55" s="1"/>
      <c r="P55" s="1"/>
      <c r="Q55" s="1"/>
    </row>
    <row r="56" spans="8:17" x14ac:dyDescent="0.25">
      <c r="H56" s="1"/>
      <c r="I56" s="1"/>
      <c r="J56" s="1"/>
      <c r="K56" s="1"/>
      <c r="L56" s="1"/>
      <c r="M56" s="1"/>
      <c r="N56" s="1"/>
      <c r="O56" s="1"/>
      <c r="P56" s="1"/>
      <c r="Q56" s="1"/>
    </row>
    <row r="57" spans="8:17" x14ac:dyDescent="0.25">
      <c r="H57" s="1"/>
      <c r="I57" s="1"/>
      <c r="J57" s="1"/>
      <c r="K57" s="1"/>
      <c r="L57" s="1"/>
      <c r="M57" s="1"/>
      <c r="N57" s="1"/>
      <c r="O57" s="1"/>
      <c r="P57" s="1"/>
      <c r="Q57" s="1"/>
    </row>
    <row r="58" spans="8:17" x14ac:dyDescent="0.25">
      <c r="H58" s="1"/>
      <c r="I58" s="1"/>
      <c r="J58" s="1"/>
      <c r="K58" s="1"/>
      <c r="L58" s="1"/>
      <c r="M58" s="1"/>
      <c r="N58" s="1"/>
      <c r="O58" s="1"/>
      <c r="P58" s="1"/>
      <c r="Q58" s="1"/>
    </row>
    <row r="59" spans="8:17" x14ac:dyDescent="0.25">
      <c r="H59" s="1"/>
      <c r="I59" s="1"/>
      <c r="J59" s="1"/>
      <c r="K59" s="1"/>
      <c r="L59" s="1"/>
      <c r="M59" s="1"/>
      <c r="N59" s="1"/>
      <c r="O59" s="1"/>
      <c r="P59" s="1"/>
      <c r="Q59" s="1"/>
    </row>
    <row r="60" spans="8:17" x14ac:dyDescent="0.25">
      <c r="H60" s="1"/>
      <c r="I60" s="1"/>
      <c r="J60" s="1"/>
      <c r="K60" s="1"/>
      <c r="L60" s="1"/>
      <c r="M60" s="1"/>
      <c r="N60" s="1"/>
      <c r="O60" s="1"/>
      <c r="P60" s="1"/>
      <c r="Q60" s="1"/>
    </row>
    <row r="61" spans="8:17" x14ac:dyDescent="0.25">
      <c r="H61" s="1"/>
      <c r="I61" s="1"/>
      <c r="J61" s="1"/>
      <c r="K61" s="1"/>
      <c r="L61" s="1"/>
      <c r="M61" s="1"/>
      <c r="N61" s="1"/>
      <c r="O61" s="1"/>
      <c r="P61" s="1"/>
      <c r="Q61" s="1"/>
    </row>
    <row r="62" spans="8:17" x14ac:dyDescent="0.25">
      <c r="H62" s="1"/>
      <c r="I62" s="1"/>
      <c r="J62" s="1"/>
      <c r="K62" s="1"/>
      <c r="L62" s="1"/>
      <c r="M62" s="1"/>
      <c r="N62" s="1"/>
      <c r="O62" s="1"/>
      <c r="P62" s="1"/>
      <c r="Q62" s="1"/>
    </row>
    <row r="63" spans="8:17" x14ac:dyDescent="0.25">
      <c r="H63" s="1"/>
      <c r="I63" s="1"/>
      <c r="J63" s="1"/>
      <c r="K63" s="1"/>
      <c r="L63" s="1"/>
      <c r="M63" s="1"/>
      <c r="N63" s="1"/>
      <c r="O63" s="1"/>
      <c r="P63" s="1"/>
      <c r="Q63" s="1"/>
    </row>
    <row r="64" spans="8:17" x14ac:dyDescent="0.25">
      <c r="H64" s="1"/>
      <c r="I64" s="1"/>
      <c r="J64" s="1"/>
      <c r="K64" s="1"/>
      <c r="L64" s="1"/>
      <c r="M64" s="1"/>
      <c r="N64" s="1"/>
      <c r="O64" s="1"/>
      <c r="P64" s="1"/>
      <c r="Q64" s="1"/>
    </row>
    <row r="65" spans="8:17" x14ac:dyDescent="0.25">
      <c r="H65" s="1"/>
      <c r="I65" s="1"/>
      <c r="J65" s="1"/>
      <c r="K65" s="1"/>
      <c r="L65" s="1"/>
      <c r="M65" s="1"/>
      <c r="N65" s="1"/>
      <c r="O65" s="1"/>
      <c r="P65" s="1"/>
      <c r="Q65" s="1"/>
    </row>
    <row r="66" spans="8:17" x14ac:dyDescent="0.25">
      <c r="H66" s="1"/>
      <c r="I66" s="1"/>
      <c r="J66" s="1"/>
      <c r="K66" s="1"/>
      <c r="L66" s="1"/>
      <c r="M66" s="1"/>
      <c r="N66" s="1"/>
      <c r="O66" s="1"/>
      <c r="P66" s="1"/>
      <c r="Q66" s="1"/>
    </row>
    <row r="67" spans="8:17" x14ac:dyDescent="0.25">
      <c r="H67" s="1"/>
      <c r="I67" s="1"/>
      <c r="J67" s="1"/>
      <c r="K67" s="1"/>
      <c r="L67" s="1"/>
      <c r="M67" s="1"/>
      <c r="N67" s="1"/>
      <c r="O67" s="1"/>
      <c r="P67" s="1"/>
      <c r="Q67" s="1"/>
    </row>
    <row r="68" spans="8:17" x14ac:dyDescent="0.25">
      <c r="H68" s="1"/>
      <c r="I68" s="1"/>
      <c r="J68" s="1"/>
      <c r="K68" s="1"/>
      <c r="L68" s="1"/>
      <c r="M68" s="1"/>
      <c r="N68" s="1"/>
      <c r="O68" s="1"/>
      <c r="P68" s="1"/>
      <c r="Q68" s="1"/>
    </row>
    <row r="69" spans="8:17" x14ac:dyDescent="0.25">
      <c r="H69" s="1"/>
      <c r="I69" s="1"/>
      <c r="J69" s="1"/>
      <c r="K69" s="1"/>
      <c r="L69" s="1"/>
      <c r="M69" s="1"/>
      <c r="N69" s="1"/>
      <c r="O69" s="1"/>
      <c r="P69" s="1"/>
      <c r="Q69" s="1"/>
    </row>
    <row r="70" spans="8:17" x14ac:dyDescent="0.25">
      <c r="H70" s="1"/>
      <c r="I70" s="1"/>
      <c r="J70" s="1"/>
      <c r="K70" s="1"/>
      <c r="L70" s="1"/>
      <c r="M70" s="1"/>
      <c r="N70" s="1"/>
      <c r="O70" s="1"/>
      <c r="P70" s="1"/>
      <c r="Q70" s="1"/>
    </row>
    <row r="71" spans="8:17" x14ac:dyDescent="0.25">
      <c r="H71" s="1"/>
      <c r="I71" s="1"/>
      <c r="J71" s="1"/>
      <c r="K71" s="1"/>
      <c r="L71" s="1"/>
      <c r="M71" s="1"/>
      <c r="N71" s="1"/>
      <c r="O71" s="1"/>
      <c r="P71" s="1"/>
      <c r="Q71" s="1"/>
    </row>
    <row r="72" spans="8:17" x14ac:dyDescent="0.25">
      <c r="H72" s="1"/>
      <c r="I72" s="1"/>
      <c r="J72" s="1"/>
      <c r="K72" s="1"/>
      <c r="L72" s="1"/>
      <c r="M72" s="1"/>
      <c r="N72" s="1"/>
      <c r="O72" s="1"/>
      <c r="P72" s="1"/>
      <c r="Q72" s="1"/>
    </row>
    <row r="73" spans="8:17" x14ac:dyDescent="0.25">
      <c r="H73" s="1"/>
      <c r="I73" s="1"/>
      <c r="J73" s="1"/>
      <c r="K73" s="1"/>
      <c r="L73" s="1"/>
      <c r="M73" s="1"/>
      <c r="N73" s="1"/>
      <c r="O73" s="1"/>
      <c r="P73" s="1"/>
      <c r="Q73" s="1"/>
    </row>
    <row r="74" spans="8:17" x14ac:dyDescent="0.25">
      <c r="H74" s="1"/>
      <c r="I74" s="1"/>
      <c r="J74" s="1"/>
      <c r="K74" s="1"/>
      <c r="L74" s="1"/>
      <c r="M74" s="1"/>
      <c r="N74" s="1"/>
      <c r="O74" s="1"/>
      <c r="P74" s="1"/>
      <c r="Q74" s="1"/>
    </row>
    <row r="75" spans="8:17" x14ac:dyDescent="0.25">
      <c r="H75" s="1"/>
      <c r="I75" s="1"/>
      <c r="J75" s="1"/>
      <c r="K75" s="1"/>
      <c r="L75" s="1"/>
      <c r="M75" s="1"/>
      <c r="N75" s="1"/>
      <c r="O75" s="1"/>
      <c r="P75" s="1"/>
      <c r="Q75" s="1"/>
    </row>
    <row r="76" spans="8:17" x14ac:dyDescent="0.25">
      <c r="H76" s="1"/>
      <c r="I76" s="1"/>
      <c r="J76" s="1"/>
      <c r="K76" s="1"/>
      <c r="L76" s="1"/>
      <c r="M76" s="1"/>
      <c r="N76" s="1"/>
      <c r="O76" s="1"/>
      <c r="P76" s="1"/>
      <c r="Q76" s="1"/>
    </row>
    <row r="77" spans="8:17" x14ac:dyDescent="0.25">
      <c r="H77" s="1"/>
      <c r="I77" s="1"/>
      <c r="J77" s="1"/>
      <c r="K77" s="1"/>
      <c r="L77" s="1"/>
      <c r="M77" s="1"/>
      <c r="N77" s="1"/>
      <c r="O77" s="1"/>
      <c r="P77" s="1"/>
      <c r="Q77" s="1"/>
    </row>
    <row r="78" spans="8:17" x14ac:dyDescent="0.25">
      <c r="H78" s="1"/>
      <c r="I78" s="1"/>
      <c r="J78" s="1"/>
      <c r="K78" s="1"/>
      <c r="L78" s="1"/>
      <c r="M78" s="1"/>
      <c r="N78" s="1"/>
      <c r="O78" s="1"/>
      <c r="P78" s="1"/>
      <c r="Q78" s="1"/>
    </row>
    <row r="79" spans="8:17" x14ac:dyDescent="0.25">
      <c r="H79" s="1"/>
      <c r="I79" s="1"/>
      <c r="J79" s="1"/>
      <c r="K79" s="1"/>
      <c r="L79" s="1"/>
      <c r="M79" s="1"/>
      <c r="N79" s="1"/>
      <c r="O79" s="1"/>
      <c r="P79" s="1"/>
      <c r="Q79" s="1"/>
    </row>
    <row r="80" spans="8:17" x14ac:dyDescent="0.25">
      <c r="H80" s="1"/>
      <c r="I80" s="1"/>
      <c r="J80" s="1"/>
      <c r="K80" s="1"/>
      <c r="L80" s="1"/>
      <c r="M80" s="1"/>
      <c r="N80" s="1"/>
      <c r="O80" s="1"/>
      <c r="P80" s="1"/>
      <c r="Q80" s="1"/>
    </row>
    <row r="81" spans="8:17" x14ac:dyDescent="0.25">
      <c r="H81" s="1"/>
      <c r="I81" s="1"/>
      <c r="J81" s="1"/>
      <c r="K81" s="1"/>
      <c r="L81" s="1"/>
      <c r="M81" s="1"/>
      <c r="N81" s="1"/>
      <c r="O81" s="1"/>
      <c r="P81" s="1"/>
      <c r="Q81" s="1"/>
    </row>
    <row r="82" spans="8:17" x14ac:dyDescent="0.25">
      <c r="H82" s="1"/>
      <c r="I82" s="1"/>
      <c r="J82" s="1"/>
      <c r="K82" s="1"/>
      <c r="L82" s="1"/>
      <c r="M82" s="1"/>
      <c r="N82" s="1"/>
      <c r="O82" s="1"/>
      <c r="P82" s="1"/>
      <c r="Q82" s="1"/>
    </row>
    <row r="83" spans="8:17" x14ac:dyDescent="0.25">
      <c r="H83" s="1"/>
      <c r="I83" s="1"/>
      <c r="J83" s="1"/>
      <c r="K83" s="1"/>
      <c r="L83" s="1"/>
      <c r="M83" s="1"/>
      <c r="N83" s="1"/>
      <c r="O83" s="1"/>
      <c r="P83" s="1"/>
      <c r="Q83" s="1"/>
    </row>
    <row r="84" spans="8:17" x14ac:dyDescent="0.25">
      <c r="H84" s="1"/>
      <c r="I84" s="1"/>
      <c r="J84" s="1"/>
      <c r="K84" s="1"/>
      <c r="L84" s="1"/>
      <c r="M84" s="1"/>
      <c r="N84" s="1"/>
      <c r="O84" s="1"/>
      <c r="P84" s="1"/>
      <c r="Q84" s="1"/>
    </row>
    <row r="85" spans="8:17" x14ac:dyDescent="0.25">
      <c r="H85" s="1"/>
      <c r="I85" s="1"/>
      <c r="J85" s="1"/>
      <c r="K85" s="1"/>
      <c r="L85" s="1"/>
      <c r="M85" s="1"/>
      <c r="N85" s="1"/>
      <c r="O85" s="1"/>
      <c r="P85" s="1"/>
      <c r="Q85" s="1"/>
    </row>
    <row r="86" spans="8:17" x14ac:dyDescent="0.25">
      <c r="H86" s="1"/>
      <c r="I86" s="1"/>
      <c r="J86" s="1"/>
      <c r="K86" s="1"/>
      <c r="L86" s="1"/>
      <c r="M86" s="1"/>
      <c r="N86" s="1"/>
      <c r="O86" s="1"/>
      <c r="P86" s="1"/>
      <c r="Q86" s="1"/>
    </row>
    <row r="87" spans="8:17" x14ac:dyDescent="0.25">
      <c r="H87" s="1"/>
      <c r="I87" s="1"/>
      <c r="J87" s="1"/>
      <c r="K87" s="1"/>
      <c r="L87" s="1"/>
      <c r="M87" s="1"/>
      <c r="N87" s="1"/>
      <c r="O87" s="1"/>
      <c r="P87" s="1"/>
      <c r="Q87" s="1"/>
    </row>
    <row r="88" spans="8:17" x14ac:dyDescent="0.25">
      <c r="H88" s="1"/>
      <c r="I88" s="1"/>
      <c r="J88" s="1"/>
      <c r="K88" s="1"/>
      <c r="L88" s="1"/>
      <c r="M88" s="1"/>
      <c r="N88" s="1"/>
      <c r="O88" s="1"/>
      <c r="P88" s="1"/>
      <c r="Q88" s="1"/>
    </row>
    <row r="89" spans="8:17" x14ac:dyDescent="0.25">
      <c r="H89" s="1"/>
      <c r="I89" s="1"/>
      <c r="J89" s="1"/>
      <c r="K89" s="1"/>
      <c r="L89" s="1"/>
      <c r="M89" s="1"/>
      <c r="N89" s="1"/>
      <c r="O89" s="1"/>
      <c r="P89" s="1"/>
      <c r="Q89" s="1"/>
    </row>
    <row r="90" spans="8:17" x14ac:dyDescent="0.25">
      <c r="H90" s="1"/>
      <c r="I90" s="1"/>
      <c r="J90" s="1"/>
      <c r="K90" s="1"/>
      <c r="L90" s="1"/>
      <c r="M90" s="1"/>
      <c r="N90" s="1"/>
      <c r="O90" s="1"/>
      <c r="P90" s="1"/>
      <c r="Q90" s="1"/>
    </row>
    <row r="91" spans="8:17" x14ac:dyDescent="0.25">
      <c r="H91" s="1"/>
      <c r="I91" s="1"/>
      <c r="J91" s="1"/>
      <c r="K91" s="1"/>
      <c r="L91" s="1"/>
      <c r="M91" s="1"/>
      <c r="N91" s="1"/>
      <c r="O91" s="1"/>
      <c r="P91" s="1"/>
      <c r="Q91" s="1"/>
    </row>
    <row r="92" spans="8:17" x14ac:dyDescent="0.25">
      <c r="H92" s="1"/>
      <c r="I92" s="1"/>
      <c r="J92" s="1"/>
      <c r="K92" s="1"/>
      <c r="L92" s="1"/>
      <c r="M92" s="1"/>
      <c r="N92" s="1"/>
      <c r="O92" s="1"/>
      <c r="P92" s="1"/>
      <c r="Q92" s="1"/>
    </row>
    <row r="93" spans="8:17" x14ac:dyDescent="0.25">
      <c r="H93" s="1"/>
      <c r="I93" s="1"/>
      <c r="J93" s="1"/>
      <c r="K93" s="1"/>
      <c r="L93" s="1"/>
      <c r="M93" s="1"/>
      <c r="N93" s="1"/>
      <c r="O93" s="1"/>
      <c r="P93" s="1"/>
      <c r="Q93" s="1"/>
    </row>
    <row r="94" spans="8:17" x14ac:dyDescent="0.25">
      <c r="H94" s="1"/>
      <c r="I94" s="1"/>
      <c r="J94" s="1"/>
      <c r="K94" s="1"/>
      <c r="L94" s="1"/>
      <c r="M94" s="1"/>
      <c r="N94" s="1"/>
      <c r="O94" s="1"/>
      <c r="P94" s="1"/>
      <c r="Q94" s="1"/>
    </row>
    <row r="95" spans="8:17" x14ac:dyDescent="0.25">
      <c r="H95" s="1"/>
      <c r="I95" s="1"/>
      <c r="J95" s="1"/>
      <c r="K95" s="1"/>
      <c r="L95" s="1"/>
      <c r="M95" s="1"/>
      <c r="N95" s="1"/>
      <c r="O95" s="1"/>
      <c r="P95" s="1"/>
      <c r="Q95" s="1"/>
    </row>
    <row r="96" spans="8:17" x14ac:dyDescent="0.25">
      <c r="H96" s="1"/>
      <c r="I96" s="1"/>
      <c r="J96" s="1"/>
      <c r="K96" s="1"/>
      <c r="L96" s="1"/>
      <c r="M96" s="1"/>
      <c r="N96" s="1"/>
      <c r="O96" s="1"/>
      <c r="P96" s="1"/>
      <c r="Q96" s="1"/>
    </row>
    <row r="97" spans="8:17" x14ac:dyDescent="0.25">
      <c r="H97" s="1"/>
      <c r="I97" s="1"/>
      <c r="J97" s="1"/>
      <c r="K97" s="1"/>
      <c r="L97" s="1"/>
      <c r="M97" s="1"/>
      <c r="N97" s="1"/>
      <c r="O97" s="1"/>
      <c r="P97" s="1"/>
      <c r="Q97" s="1"/>
    </row>
    <row r="98" spans="8:17" x14ac:dyDescent="0.25">
      <c r="H98" s="1"/>
      <c r="I98" s="1"/>
      <c r="J98" s="1"/>
      <c r="K98" s="1"/>
      <c r="L98" s="1"/>
      <c r="M98" s="1"/>
      <c r="N98" s="1"/>
      <c r="O98" s="1"/>
      <c r="P98" s="1"/>
      <c r="Q98" s="1"/>
    </row>
    <row r="99" spans="8:17" x14ac:dyDescent="0.25">
      <c r="H99" s="1"/>
      <c r="I99" s="1"/>
      <c r="J99" s="1"/>
      <c r="K99" s="1"/>
      <c r="L99" s="1"/>
      <c r="M99" s="1"/>
      <c r="N99" s="1"/>
      <c r="O99" s="1"/>
      <c r="P99" s="1"/>
      <c r="Q99" s="1"/>
    </row>
    <row r="100" spans="8:17" x14ac:dyDescent="0.25">
      <c r="H100" s="1"/>
      <c r="I100" s="1"/>
      <c r="J100" s="1"/>
      <c r="K100" s="1"/>
      <c r="L100" s="1"/>
      <c r="M100" s="1"/>
      <c r="N100" s="1"/>
      <c r="O100" s="1"/>
      <c r="P100" s="1"/>
      <c r="Q100" s="1"/>
    </row>
  </sheetData>
  <conditionalFormatting sqref="A2:R2">
    <cfRule type="expression" dxfId="14" priority="1" stopIfTrue="1">
      <formula>A2=""</formula>
    </cfRule>
    <cfRule type="expression" dxfId="13" priority="2" stopIfTrue="1">
      <formula>$R2="True"</formula>
    </cfRule>
    <cfRule type="expression" dxfId="12" priority="3" stopIfTrue="1">
      <formula>$R2="False"</formula>
    </cfRule>
  </conditionalFormatting>
  <hyperlinks>
    <hyperlink ref="B2" r:id="rId1" xr:uid="{00000000-0004-0000-0000-000000000000}"/>
  </hyperlinks>
  <pageMargins left="0.7" right="0.7" top="0.75" bottom="0.75" header="0.3" footer="0.3"/>
  <pageSetup paperSize="9" orientation="portrait"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100"/>
  <sheetViews>
    <sheetView workbookViewId="0">
      <selection activeCell="R30" sqref="R30"/>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34</v>
      </c>
      <c r="B2" s="3" t="s">
        <v>62</v>
      </c>
      <c r="C2" s="2" t="s">
        <v>90</v>
      </c>
      <c r="D2" s="2" t="s">
        <v>21</v>
      </c>
      <c r="E2" s="2">
        <v>27</v>
      </c>
      <c r="F2" s="2" t="s">
        <v>118</v>
      </c>
      <c r="G2" s="2" t="s">
        <v>23</v>
      </c>
      <c r="H2" s="4" t="s">
        <v>142</v>
      </c>
      <c r="I2" s="4" t="s">
        <v>170</v>
      </c>
      <c r="J2" s="4" t="s">
        <v>198</v>
      </c>
      <c r="K2" s="4" t="s">
        <v>226</v>
      </c>
      <c r="L2" s="4" t="s">
        <v>254</v>
      </c>
      <c r="M2" s="4"/>
      <c r="N2" s="4" t="s">
        <v>274</v>
      </c>
      <c r="O2" s="4" t="s">
        <v>302</v>
      </c>
      <c r="P2" s="4" t="s">
        <v>330</v>
      </c>
      <c r="Q2" s="4" t="s">
        <v>354</v>
      </c>
      <c r="R2" s="2" t="s">
        <v>33</v>
      </c>
      <c r="S2" s="6" t="str">
        <f>HYPERLINK(B2,"link")</f>
        <v>link</v>
      </c>
      <c r="T2" s="6" t="str">
        <f>HYPERLINK(C2,"pdf")</f>
        <v>pdf</v>
      </c>
    </row>
    <row r="3" spans="1:20" x14ac:dyDescent="0.25">
      <c r="A3" s="2" t="s">
        <v>35</v>
      </c>
      <c r="B3" s="3" t="s">
        <v>63</v>
      </c>
      <c r="C3" s="2" t="s">
        <v>91</v>
      </c>
      <c r="D3" s="2" t="s">
        <v>21</v>
      </c>
      <c r="E3" s="2">
        <v>8</v>
      </c>
      <c r="F3" s="2" t="s">
        <v>119</v>
      </c>
      <c r="G3" s="2" t="s">
        <v>23</v>
      </c>
      <c r="H3" s="4" t="s">
        <v>143</v>
      </c>
      <c r="I3" s="4" t="s">
        <v>171</v>
      </c>
      <c r="J3" s="4" t="s">
        <v>199</v>
      </c>
      <c r="K3" s="4" t="s">
        <v>227</v>
      </c>
      <c r="L3" s="4"/>
      <c r="M3" s="4"/>
      <c r="N3" s="4" t="s">
        <v>275</v>
      </c>
      <c r="O3" s="4" t="s">
        <v>303</v>
      </c>
      <c r="P3" s="4"/>
      <c r="Q3" s="4"/>
      <c r="R3" s="2" t="s">
        <v>33</v>
      </c>
      <c r="S3" s="6" t="str">
        <f t="shared" ref="S3:S29" si="0">HYPERLINK(B3,"link")</f>
        <v>link</v>
      </c>
      <c r="T3" s="6" t="str">
        <f t="shared" ref="T3:T29" si="1">HYPERLINK(C3,"pdf")</f>
        <v>pdf</v>
      </c>
    </row>
    <row r="4" spans="1:20" x14ac:dyDescent="0.25">
      <c r="A4" s="2" t="s">
        <v>36</v>
      </c>
      <c r="B4" s="3" t="s">
        <v>64</v>
      </c>
      <c r="C4" s="2" t="s">
        <v>92</v>
      </c>
      <c r="D4" s="2" t="s">
        <v>21</v>
      </c>
      <c r="E4" s="2">
        <v>7</v>
      </c>
      <c r="F4" s="2" t="s">
        <v>120</v>
      </c>
      <c r="G4" s="2" t="s">
        <v>23</v>
      </c>
      <c r="H4" s="4" t="s">
        <v>144</v>
      </c>
      <c r="I4" s="4" t="s">
        <v>172</v>
      </c>
      <c r="J4" s="4" t="s">
        <v>200</v>
      </c>
      <c r="K4" s="4" t="s">
        <v>228</v>
      </c>
      <c r="L4" s="4" t="s">
        <v>255</v>
      </c>
      <c r="M4" s="4"/>
      <c r="N4" s="4" t="s">
        <v>276</v>
      </c>
      <c r="O4" s="4" t="s">
        <v>304</v>
      </c>
      <c r="P4" s="4" t="s">
        <v>331</v>
      </c>
      <c r="Q4" s="4" t="s">
        <v>355</v>
      </c>
      <c r="R4" s="2" t="s">
        <v>33</v>
      </c>
      <c r="S4" s="6" t="str">
        <f t="shared" si="0"/>
        <v>link</v>
      </c>
      <c r="T4" s="6" t="str">
        <f t="shared" si="1"/>
        <v>pdf</v>
      </c>
    </row>
    <row r="5" spans="1:20" x14ac:dyDescent="0.25">
      <c r="A5" s="2" t="s">
        <v>37</v>
      </c>
      <c r="B5" s="3" t="s">
        <v>65</v>
      </c>
      <c r="C5" s="2" t="s">
        <v>93</v>
      </c>
      <c r="D5" s="2" t="s">
        <v>21</v>
      </c>
      <c r="E5" s="2">
        <v>5</v>
      </c>
      <c r="F5" s="2" t="s">
        <v>121</v>
      </c>
      <c r="G5" s="2" t="s">
        <v>23</v>
      </c>
      <c r="H5" s="4" t="s">
        <v>145</v>
      </c>
      <c r="I5" s="4" t="s">
        <v>173</v>
      </c>
      <c r="J5" s="4" t="s">
        <v>201</v>
      </c>
      <c r="K5" s="4" t="s">
        <v>229</v>
      </c>
      <c r="L5" s="4"/>
      <c r="M5" s="4" t="s">
        <v>271</v>
      </c>
      <c r="N5" s="4" t="s">
        <v>277</v>
      </c>
      <c r="O5" s="4" t="s">
        <v>305</v>
      </c>
      <c r="P5" s="4" t="s">
        <v>332</v>
      </c>
      <c r="Q5" s="4" t="s">
        <v>356</v>
      </c>
      <c r="R5" s="2" t="s">
        <v>33</v>
      </c>
      <c r="S5" s="6" t="str">
        <f t="shared" si="0"/>
        <v>link</v>
      </c>
      <c r="T5" s="6" t="str">
        <f t="shared" si="1"/>
        <v>pdf</v>
      </c>
    </row>
    <row r="6" spans="1:20" x14ac:dyDescent="0.25">
      <c r="A6" s="2" t="s">
        <v>38</v>
      </c>
      <c r="B6" s="3" t="s">
        <v>66</v>
      </c>
      <c r="C6" s="2" t="s">
        <v>94</v>
      </c>
      <c r="D6" s="2" t="s">
        <v>33</v>
      </c>
      <c r="E6" s="2">
        <v>3</v>
      </c>
      <c r="F6" s="2" t="s">
        <v>122</v>
      </c>
      <c r="G6" s="2" t="s">
        <v>23</v>
      </c>
      <c r="H6" s="4" t="s">
        <v>146</v>
      </c>
      <c r="I6" s="4" t="s">
        <v>174</v>
      </c>
      <c r="J6" s="4" t="s">
        <v>202</v>
      </c>
      <c r="K6" s="4" t="s">
        <v>230</v>
      </c>
      <c r="L6" s="4" t="s">
        <v>256</v>
      </c>
      <c r="M6" s="4"/>
      <c r="N6" s="4" t="s">
        <v>278</v>
      </c>
      <c r="O6" s="4" t="s">
        <v>306</v>
      </c>
      <c r="P6" s="4" t="s">
        <v>333</v>
      </c>
      <c r="Q6" s="4" t="s">
        <v>357</v>
      </c>
      <c r="R6" s="2" t="s">
        <v>33</v>
      </c>
      <c r="S6" s="6" t="str">
        <f t="shared" si="0"/>
        <v>link</v>
      </c>
      <c r="T6" s="6" t="str">
        <f t="shared" si="1"/>
        <v>pdf</v>
      </c>
    </row>
    <row r="7" spans="1:20" x14ac:dyDescent="0.25">
      <c r="A7" s="2" t="s">
        <v>39</v>
      </c>
      <c r="B7" s="3" t="s">
        <v>67</v>
      </c>
      <c r="C7" s="2" t="s">
        <v>95</v>
      </c>
      <c r="D7" s="2" t="s">
        <v>21</v>
      </c>
      <c r="E7" s="2">
        <v>2</v>
      </c>
      <c r="F7" s="2" t="s">
        <v>123</v>
      </c>
      <c r="G7" s="2" t="s">
        <v>23</v>
      </c>
      <c r="H7" s="4" t="s">
        <v>147</v>
      </c>
      <c r="I7" s="4" t="s">
        <v>175</v>
      </c>
      <c r="J7" s="4" t="s">
        <v>203</v>
      </c>
      <c r="K7" s="4" t="s">
        <v>231</v>
      </c>
      <c r="L7" s="4" t="s">
        <v>257</v>
      </c>
      <c r="M7" s="4"/>
      <c r="N7" s="4" t="s">
        <v>279</v>
      </c>
      <c r="O7" s="4" t="s">
        <v>307</v>
      </c>
      <c r="P7" s="4" t="s">
        <v>334</v>
      </c>
      <c r="Q7" s="4" t="s">
        <v>358</v>
      </c>
      <c r="R7" s="2" t="s">
        <v>33</v>
      </c>
      <c r="S7" s="6" t="str">
        <f t="shared" si="0"/>
        <v>link</v>
      </c>
      <c r="T7" s="6" t="str">
        <f t="shared" si="1"/>
        <v>pdf</v>
      </c>
    </row>
    <row r="8" spans="1:20" x14ac:dyDescent="0.25">
      <c r="A8" s="2" t="s">
        <v>40</v>
      </c>
      <c r="B8" s="3" t="s">
        <v>68</v>
      </c>
      <c r="C8" s="2" t="s">
        <v>96</v>
      </c>
      <c r="D8" s="2" t="s">
        <v>21</v>
      </c>
      <c r="E8" s="2">
        <v>1</v>
      </c>
      <c r="F8" s="2" t="s">
        <v>124</v>
      </c>
      <c r="G8" s="2" t="s">
        <v>23</v>
      </c>
      <c r="H8" s="4" t="s">
        <v>148</v>
      </c>
      <c r="I8" s="4" t="s">
        <v>176</v>
      </c>
      <c r="J8" s="4" t="s">
        <v>204</v>
      </c>
      <c r="K8" s="4" t="s">
        <v>232</v>
      </c>
      <c r="L8" s="4" t="s">
        <v>258</v>
      </c>
      <c r="M8" s="4"/>
      <c r="N8" s="4" t="s">
        <v>280</v>
      </c>
      <c r="O8" s="4" t="s">
        <v>308</v>
      </c>
      <c r="P8" s="4" t="s">
        <v>335</v>
      </c>
      <c r="Q8" s="4" t="s">
        <v>359</v>
      </c>
      <c r="R8" s="2" t="s">
        <v>33</v>
      </c>
      <c r="S8" s="6" t="str">
        <f t="shared" si="0"/>
        <v>link</v>
      </c>
      <c r="T8" s="6" t="str">
        <f t="shared" si="1"/>
        <v>pdf</v>
      </c>
    </row>
    <row r="9" spans="1:20" x14ac:dyDescent="0.25">
      <c r="A9" s="2" t="s">
        <v>41</v>
      </c>
      <c r="B9" s="3" t="s">
        <v>69</v>
      </c>
      <c r="C9" s="2" t="s">
        <v>97</v>
      </c>
      <c r="D9" s="2" t="s">
        <v>21</v>
      </c>
      <c r="E9" s="2">
        <v>1</v>
      </c>
      <c r="F9" s="2" t="s">
        <v>125</v>
      </c>
      <c r="G9" s="2" t="s">
        <v>23</v>
      </c>
      <c r="H9" s="4" t="s">
        <v>149</v>
      </c>
      <c r="I9" s="4" t="s">
        <v>177</v>
      </c>
      <c r="J9" s="4" t="s">
        <v>205</v>
      </c>
      <c r="K9" s="4" t="s">
        <v>233</v>
      </c>
      <c r="L9" s="4"/>
      <c r="M9" s="4"/>
      <c r="N9" s="4" t="s">
        <v>281</v>
      </c>
      <c r="O9" s="4" t="s">
        <v>309</v>
      </c>
      <c r="P9" s="4"/>
      <c r="Q9" s="4"/>
      <c r="R9" s="2" t="s">
        <v>33</v>
      </c>
      <c r="S9" s="6" t="str">
        <f t="shared" si="0"/>
        <v>link</v>
      </c>
      <c r="T9" s="6" t="str">
        <f t="shared" si="1"/>
        <v>pdf</v>
      </c>
    </row>
    <row r="10" spans="1:20" x14ac:dyDescent="0.25">
      <c r="A10" s="2" t="s">
        <v>42</v>
      </c>
      <c r="B10" s="3" t="s">
        <v>70</v>
      </c>
      <c r="C10" s="2" t="s">
        <v>98</v>
      </c>
      <c r="D10" s="2" t="s">
        <v>21</v>
      </c>
      <c r="E10" s="2">
        <v>1</v>
      </c>
      <c r="F10" s="2" t="s">
        <v>126</v>
      </c>
      <c r="G10" s="2" t="s">
        <v>23</v>
      </c>
      <c r="H10" s="4" t="s">
        <v>150</v>
      </c>
      <c r="I10" s="4" t="s">
        <v>178</v>
      </c>
      <c r="J10" s="4" t="s">
        <v>206</v>
      </c>
      <c r="K10" s="4" t="s">
        <v>234</v>
      </c>
      <c r="L10" s="4" t="s">
        <v>259</v>
      </c>
      <c r="M10" s="4" t="s">
        <v>272</v>
      </c>
      <c r="N10" s="4" t="s">
        <v>282</v>
      </c>
      <c r="O10" s="4" t="s">
        <v>310</v>
      </c>
      <c r="P10" s="4" t="s">
        <v>336</v>
      </c>
      <c r="Q10" s="4" t="s">
        <v>360</v>
      </c>
      <c r="R10" s="2" t="s">
        <v>33</v>
      </c>
      <c r="S10" s="6" t="str">
        <f t="shared" si="0"/>
        <v>link</v>
      </c>
      <c r="T10" s="6" t="str">
        <f t="shared" si="1"/>
        <v>pdf</v>
      </c>
    </row>
    <row r="11" spans="1:20" x14ac:dyDescent="0.25">
      <c r="A11" s="2" t="s">
        <v>43</v>
      </c>
      <c r="B11" s="3" t="s">
        <v>71</v>
      </c>
      <c r="C11" s="2" t="s">
        <v>99</v>
      </c>
      <c r="D11" s="2" t="s">
        <v>21</v>
      </c>
      <c r="E11" s="2">
        <v>1</v>
      </c>
      <c r="F11" s="2" t="s">
        <v>127</v>
      </c>
      <c r="G11" s="2" t="s">
        <v>23</v>
      </c>
      <c r="H11" s="4" t="s">
        <v>151</v>
      </c>
      <c r="I11" s="4" t="s">
        <v>179</v>
      </c>
      <c r="J11" s="4" t="s">
        <v>207</v>
      </c>
      <c r="K11" s="4" t="s">
        <v>235</v>
      </c>
      <c r="L11" s="4"/>
      <c r="M11" s="4"/>
      <c r="N11" s="4" t="s">
        <v>283</v>
      </c>
      <c r="O11" s="4" t="s">
        <v>311</v>
      </c>
      <c r="P11" s="4" t="s">
        <v>337</v>
      </c>
      <c r="Q11" s="4" t="s">
        <v>361</v>
      </c>
      <c r="R11" s="2" t="s">
        <v>33</v>
      </c>
      <c r="S11" s="6" t="str">
        <f t="shared" si="0"/>
        <v>link</v>
      </c>
      <c r="T11" s="6" t="str">
        <f t="shared" si="1"/>
        <v>pdf</v>
      </c>
    </row>
    <row r="12" spans="1:20" x14ac:dyDescent="0.25">
      <c r="A12" s="2" t="s">
        <v>44</v>
      </c>
      <c r="B12" s="3" t="s">
        <v>72</v>
      </c>
      <c r="C12" s="2" t="s">
        <v>100</v>
      </c>
      <c r="D12" s="2" t="s">
        <v>21</v>
      </c>
      <c r="E12" s="2">
        <v>1</v>
      </c>
      <c r="F12" s="2" t="s">
        <v>128</v>
      </c>
      <c r="G12" s="2" t="s">
        <v>23</v>
      </c>
      <c r="H12" s="4" t="s">
        <v>152</v>
      </c>
      <c r="I12" s="4" t="s">
        <v>180</v>
      </c>
      <c r="J12" s="4" t="s">
        <v>208</v>
      </c>
      <c r="K12" s="4" t="s">
        <v>236</v>
      </c>
      <c r="L12" s="4" t="s">
        <v>260</v>
      </c>
      <c r="M12" s="4"/>
      <c r="N12" s="4" t="s">
        <v>284</v>
      </c>
      <c r="O12" s="4" t="s">
        <v>312</v>
      </c>
      <c r="P12" s="4" t="s">
        <v>338</v>
      </c>
      <c r="Q12" s="4" t="s">
        <v>362</v>
      </c>
      <c r="R12" s="2" t="s">
        <v>33</v>
      </c>
      <c r="S12" s="6" t="str">
        <f t="shared" si="0"/>
        <v>link</v>
      </c>
      <c r="T12" s="6" t="str">
        <f t="shared" si="1"/>
        <v>pdf</v>
      </c>
    </row>
    <row r="13" spans="1:20" x14ac:dyDescent="0.25">
      <c r="A13" s="2" t="s">
        <v>45</v>
      </c>
      <c r="B13" s="3" t="s">
        <v>73</v>
      </c>
      <c r="C13" s="2" t="s">
        <v>101</v>
      </c>
      <c r="D13" s="2" t="s">
        <v>21</v>
      </c>
      <c r="E13" s="2">
        <v>1</v>
      </c>
      <c r="F13" s="2" t="s">
        <v>129</v>
      </c>
      <c r="G13" s="2" t="s">
        <v>23</v>
      </c>
      <c r="H13" s="4" t="s">
        <v>153</v>
      </c>
      <c r="I13" s="4" t="s">
        <v>181</v>
      </c>
      <c r="J13" s="4" t="s">
        <v>209</v>
      </c>
      <c r="K13" s="4" t="s">
        <v>237</v>
      </c>
      <c r="L13" s="4" t="s">
        <v>261</v>
      </c>
      <c r="M13" s="4"/>
      <c r="N13" s="4" t="s">
        <v>285</v>
      </c>
      <c r="O13" s="4" t="s">
        <v>313</v>
      </c>
      <c r="P13" s="4" t="s">
        <v>339</v>
      </c>
      <c r="Q13" s="4" t="s">
        <v>363</v>
      </c>
      <c r="R13" s="2" t="s">
        <v>33</v>
      </c>
      <c r="S13" s="6" t="str">
        <f t="shared" si="0"/>
        <v>link</v>
      </c>
      <c r="T13" s="6" t="str">
        <f t="shared" si="1"/>
        <v>pdf</v>
      </c>
    </row>
    <row r="14" spans="1:20" x14ac:dyDescent="0.25">
      <c r="A14" s="2" t="s">
        <v>46</v>
      </c>
      <c r="B14" s="3" t="s">
        <v>74</v>
      </c>
      <c r="C14" s="2" t="s">
        <v>102</v>
      </c>
      <c r="D14" s="2" t="s">
        <v>21</v>
      </c>
      <c r="E14" s="2">
        <v>0</v>
      </c>
      <c r="F14" s="2" t="s">
        <v>130</v>
      </c>
      <c r="G14" s="2" t="s">
        <v>23</v>
      </c>
      <c r="H14" s="4" t="s">
        <v>154</v>
      </c>
      <c r="I14" s="4" t="s">
        <v>182</v>
      </c>
      <c r="J14" s="4" t="s">
        <v>210</v>
      </c>
      <c r="K14" s="4" t="s">
        <v>238</v>
      </c>
      <c r="L14" s="4" t="s">
        <v>262</v>
      </c>
      <c r="M14" s="4"/>
      <c r="N14" s="4" t="s">
        <v>286</v>
      </c>
      <c r="O14" s="4" t="s">
        <v>314</v>
      </c>
      <c r="P14" s="4"/>
      <c r="Q14" s="4"/>
      <c r="R14" s="2" t="s">
        <v>33</v>
      </c>
      <c r="S14" s="6" t="str">
        <f t="shared" si="0"/>
        <v>link</v>
      </c>
      <c r="T14" s="6" t="str">
        <f t="shared" si="1"/>
        <v>pdf</v>
      </c>
    </row>
    <row r="15" spans="1:20" x14ac:dyDescent="0.25">
      <c r="A15" s="2" t="s">
        <v>47</v>
      </c>
      <c r="B15" s="3" t="s">
        <v>75</v>
      </c>
      <c r="C15" s="2" t="s">
        <v>103</v>
      </c>
      <c r="D15" s="2" t="s">
        <v>21</v>
      </c>
      <c r="E15" s="2">
        <v>0</v>
      </c>
      <c r="F15" s="2" t="s">
        <v>131</v>
      </c>
      <c r="G15" s="2" t="s">
        <v>23</v>
      </c>
      <c r="H15" s="4" t="s">
        <v>155</v>
      </c>
      <c r="I15" s="4" t="s">
        <v>183</v>
      </c>
      <c r="J15" s="4" t="s">
        <v>211</v>
      </c>
      <c r="K15" s="4" t="s">
        <v>239</v>
      </c>
      <c r="L15" s="4" t="s">
        <v>263</v>
      </c>
      <c r="M15" s="4"/>
      <c r="N15" s="4" t="s">
        <v>287</v>
      </c>
      <c r="O15" s="4" t="s">
        <v>315</v>
      </c>
      <c r="P15" s="4"/>
      <c r="Q15" s="4"/>
      <c r="R15" s="2" t="s">
        <v>33</v>
      </c>
      <c r="S15" s="6" t="str">
        <f t="shared" si="0"/>
        <v>link</v>
      </c>
      <c r="T15" s="6" t="str">
        <f t="shared" si="1"/>
        <v>pdf</v>
      </c>
    </row>
    <row r="16" spans="1:20" x14ac:dyDescent="0.25">
      <c r="A16" s="2" t="s">
        <v>48</v>
      </c>
      <c r="B16" s="3" t="s">
        <v>76</v>
      </c>
      <c r="C16" s="2" t="s">
        <v>104</v>
      </c>
      <c r="D16" s="2" t="s">
        <v>21</v>
      </c>
      <c r="E16" s="2">
        <v>0</v>
      </c>
      <c r="F16" s="2" t="s">
        <v>132</v>
      </c>
      <c r="G16" s="2" t="s">
        <v>23</v>
      </c>
      <c r="H16" s="4" t="s">
        <v>156</v>
      </c>
      <c r="I16" s="4" t="s">
        <v>184</v>
      </c>
      <c r="J16" s="4" t="s">
        <v>212</v>
      </c>
      <c r="K16" s="4" t="s">
        <v>240</v>
      </c>
      <c r="L16" s="4"/>
      <c r="M16" s="4"/>
      <c r="N16" s="4" t="s">
        <v>288</v>
      </c>
      <c r="O16" s="4" t="s">
        <v>316</v>
      </c>
      <c r="P16" s="4" t="s">
        <v>340</v>
      </c>
      <c r="Q16" s="4" t="s">
        <v>364</v>
      </c>
      <c r="R16" s="2" t="s">
        <v>33</v>
      </c>
      <c r="S16" s="6" t="str">
        <f t="shared" si="0"/>
        <v>link</v>
      </c>
      <c r="T16" s="6" t="str">
        <f t="shared" si="1"/>
        <v>pdf</v>
      </c>
    </row>
    <row r="17" spans="1:20" x14ac:dyDescent="0.25">
      <c r="A17" s="2" t="s">
        <v>49</v>
      </c>
      <c r="B17" s="3" t="s">
        <v>77</v>
      </c>
      <c r="C17" s="2" t="s">
        <v>105</v>
      </c>
      <c r="D17" s="2" t="s">
        <v>21</v>
      </c>
      <c r="E17" s="2">
        <v>0</v>
      </c>
      <c r="F17" s="2" t="s">
        <v>121</v>
      </c>
      <c r="G17" s="2" t="s">
        <v>23</v>
      </c>
      <c r="H17" s="4" t="s">
        <v>157</v>
      </c>
      <c r="I17" s="4" t="s">
        <v>185</v>
      </c>
      <c r="J17" s="4" t="s">
        <v>213</v>
      </c>
      <c r="K17" s="4" t="s">
        <v>241</v>
      </c>
      <c r="L17" s="4" t="s">
        <v>264</v>
      </c>
      <c r="M17" s="4"/>
      <c r="N17" s="4" t="s">
        <v>289</v>
      </c>
      <c r="O17" s="4" t="s">
        <v>317</v>
      </c>
      <c r="P17" s="4" t="s">
        <v>341</v>
      </c>
      <c r="Q17" s="4"/>
      <c r="R17" s="2" t="s">
        <v>33</v>
      </c>
      <c r="S17" s="6" t="str">
        <f t="shared" si="0"/>
        <v>link</v>
      </c>
      <c r="T17" s="6" t="str">
        <f t="shared" si="1"/>
        <v>pdf</v>
      </c>
    </row>
    <row r="18" spans="1:20" x14ac:dyDescent="0.25">
      <c r="A18" s="2" t="s">
        <v>50</v>
      </c>
      <c r="B18" s="3" t="s">
        <v>78</v>
      </c>
      <c r="C18" s="2" t="s">
        <v>106</v>
      </c>
      <c r="D18" s="2" t="s">
        <v>21</v>
      </c>
      <c r="E18" s="2">
        <v>0</v>
      </c>
      <c r="F18" s="2" t="s">
        <v>133</v>
      </c>
      <c r="G18" s="2" t="s">
        <v>23</v>
      </c>
      <c r="H18" s="4" t="s">
        <v>158</v>
      </c>
      <c r="I18" s="4" t="s">
        <v>186</v>
      </c>
      <c r="J18" s="4" t="s">
        <v>214</v>
      </c>
      <c r="K18" s="4" t="s">
        <v>242</v>
      </c>
      <c r="L18" s="4" t="s">
        <v>265</v>
      </c>
      <c r="M18" s="4"/>
      <c r="N18" s="4" t="s">
        <v>290</v>
      </c>
      <c r="O18" s="4" t="s">
        <v>318</v>
      </c>
      <c r="P18" s="4" t="s">
        <v>342</v>
      </c>
      <c r="Q18" s="4" t="s">
        <v>365</v>
      </c>
      <c r="R18" s="2" t="s">
        <v>33</v>
      </c>
      <c r="S18" s="6" t="str">
        <f t="shared" si="0"/>
        <v>link</v>
      </c>
      <c r="T18" s="6" t="str">
        <f t="shared" si="1"/>
        <v>pdf</v>
      </c>
    </row>
    <row r="19" spans="1:20" x14ac:dyDescent="0.25">
      <c r="A19" s="2" t="s">
        <v>51</v>
      </c>
      <c r="B19" s="3" t="s">
        <v>79</v>
      </c>
      <c r="C19" s="2" t="s">
        <v>107</v>
      </c>
      <c r="D19" s="2" t="s">
        <v>21</v>
      </c>
      <c r="E19" s="2">
        <v>0</v>
      </c>
      <c r="F19" s="2" t="s">
        <v>127</v>
      </c>
      <c r="G19" s="2" t="s">
        <v>23</v>
      </c>
      <c r="H19" s="4" t="s">
        <v>159</v>
      </c>
      <c r="I19" s="4" t="s">
        <v>187</v>
      </c>
      <c r="J19" s="4" t="s">
        <v>215</v>
      </c>
      <c r="K19" s="4" t="s">
        <v>243</v>
      </c>
      <c r="L19" s="4" t="s">
        <v>266</v>
      </c>
      <c r="M19" s="4"/>
      <c r="N19" s="4" t="s">
        <v>291</v>
      </c>
      <c r="O19" s="4" t="s">
        <v>319</v>
      </c>
      <c r="P19" s="4" t="s">
        <v>343</v>
      </c>
      <c r="Q19" s="4"/>
      <c r="R19" s="2" t="s">
        <v>33</v>
      </c>
      <c r="S19" s="6" t="str">
        <f t="shared" si="0"/>
        <v>link</v>
      </c>
      <c r="T19" s="6" t="str">
        <f t="shared" si="1"/>
        <v>pdf</v>
      </c>
    </row>
    <row r="20" spans="1:20" x14ac:dyDescent="0.25">
      <c r="A20" s="2" t="s">
        <v>52</v>
      </c>
      <c r="B20" s="3" t="s">
        <v>80</v>
      </c>
      <c r="C20" s="2" t="s">
        <v>108</v>
      </c>
      <c r="D20" s="2" t="s">
        <v>21</v>
      </c>
      <c r="E20" s="2">
        <v>0</v>
      </c>
      <c r="F20" s="2" t="s">
        <v>131</v>
      </c>
      <c r="G20" s="2" t="s">
        <v>23</v>
      </c>
      <c r="H20" s="4" t="s">
        <v>160</v>
      </c>
      <c r="I20" s="4" t="s">
        <v>188</v>
      </c>
      <c r="J20" s="4" t="s">
        <v>216</v>
      </c>
      <c r="K20" s="4" t="s">
        <v>244</v>
      </c>
      <c r="L20" s="4" t="s">
        <v>267</v>
      </c>
      <c r="M20" s="4"/>
      <c r="N20" s="4" t="s">
        <v>292</v>
      </c>
      <c r="O20" s="4" t="s">
        <v>320</v>
      </c>
      <c r="P20" s="4" t="s">
        <v>344</v>
      </c>
      <c r="Q20" s="4" t="s">
        <v>366</v>
      </c>
      <c r="R20" s="2" t="s">
        <v>33</v>
      </c>
      <c r="S20" s="6" t="str">
        <f t="shared" si="0"/>
        <v>link</v>
      </c>
      <c r="T20" s="6" t="str">
        <f t="shared" si="1"/>
        <v>pdf</v>
      </c>
    </row>
    <row r="21" spans="1:20" x14ac:dyDescent="0.25">
      <c r="A21" s="2" t="s">
        <v>53</v>
      </c>
      <c r="B21" s="3" t="s">
        <v>81</v>
      </c>
      <c r="C21" s="2" t="s">
        <v>109</v>
      </c>
      <c r="D21" s="2" t="s">
        <v>21</v>
      </c>
      <c r="E21" s="2">
        <v>0</v>
      </c>
      <c r="F21" s="2" t="s">
        <v>134</v>
      </c>
      <c r="G21" s="2" t="s">
        <v>23</v>
      </c>
      <c r="H21" s="4" t="s">
        <v>161</v>
      </c>
      <c r="I21" s="4" t="s">
        <v>189</v>
      </c>
      <c r="J21" s="4" t="s">
        <v>217</v>
      </c>
      <c r="K21" s="4" t="s">
        <v>245</v>
      </c>
      <c r="L21" s="4"/>
      <c r="M21" s="4"/>
      <c r="N21" s="4" t="s">
        <v>293</v>
      </c>
      <c r="O21" s="4" t="s">
        <v>321</v>
      </c>
      <c r="P21" s="4" t="s">
        <v>345</v>
      </c>
      <c r="Q21" s="4" t="s">
        <v>367</v>
      </c>
      <c r="R21" s="2" t="s">
        <v>33</v>
      </c>
      <c r="S21" s="6" t="str">
        <f t="shared" si="0"/>
        <v>link</v>
      </c>
      <c r="T21" s="6" t="str">
        <f t="shared" si="1"/>
        <v>pdf</v>
      </c>
    </row>
    <row r="22" spans="1:20" x14ac:dyDescent="0.25">
      <c r="A22" s="2" t="s">
        <v>54</v>
      </c>
      <c r="B22" s="3" t="s">
        <v>82</v>
      </c>
      <c r="C22" s="2" t="s">
        <v>110</v>
      </c>
      <c r="D22" s="2" t="s">
        <v>21</v>
      </c>
      <c r="E22" s="2">
        <v>0</v>
      </c>
      <c r="F22" s="2" t="s">
        <v>135</v>
      </c>
      <c r="G22" s="2" t="s">
        <v>23</v>
      </c>
      <c r="H22" s="4" t="s">
        <v>162</v>
      </c>
      <c r="I22" s="4" t="s">
        <v>190</v>
      </c>
      <c r="J22" s="4" t="s">
        <v>218</v>
      </c>
      <c r="K22" s="4" t="s">
        <v>246</v>
      </c>
      <c r="L22" s="4" t="s">
        <v>268</v>
      </c>
      <c r="M22" s="4"/>
      <c r="N22" s="4" t="s">
        <v>294</v>
      </c>
      <c r="O22" s="4" t="s">
        <v>322</v>
      </c>
      <c r="P22" s="4" t="s">
        <v>346</v>
      </c>
      <c r="Q22" s="4" t="s">
        <v>368</v>
      </c>
      <c r="R22" s="2" t="s">
        <v>33</v>
      </c>
      <c r="S22" s="6" t="str">
        <f t="shared" si="0"/>
        <v>link</v>
      </c>
      <c r="T22" s="6" t="str">
        <f t="shared" si="1"/>
        <v>pdf</v>
      </c>
    </row>
    <row r="23" spans="1:20" x14ac:dyDescent="0.25">
      <c r="A23" s="2" t="s">
        <v>55</v>
      </c>
      <c r="B23" s="3" t="s">
        <v>83</v>
      </c>
      <c r="C23" s="2" t="s">
        <v>111</v>
      </c>
      <c r="D23" s="2" t="s">
        <v>21</v>
      </c>
      <c r="E23" s="2">
        <v>0</v>
      </c>
      <c r="F23" s="2" t="s">
        <v>136</v>
      </c>
      <c r="G23" s="2" t="s">
        <v>23</v>
      </c>
      <c r="H23" s="4" t="s">
        <v>163</v>
      </c>
      <c r="I23" s="4" t="s">
        <v>191</v>
      </c>
      <c r="J23" s="4" t="s">
        <v>219</v>
      </c>
      <c r="K23" s="4" t="s">
        <v>247</v>
      </c>
      <c r="L23" s="4"/>
      <c r="M23" s="4"/>
      <c r="N23" s="4" t="s">
        <v>295</v>
      </c>
      <c r="O23" s="4" t="s">
        <v>323</v>
      </c>
      <c r="P23" s="4" t="s">
        <v>347</v>
      </c>
      <c r="Q23" s="4" t="s">
        <v>369</v>
      </c>
      <c r="R23" s="2" t="s">
        <v>33</v>
      </c>
      <c r="S23" s="6" t="str">
        <f t="shared" si="0"/>
        <v>link</v>
      </c>
      <c r="T23" s="6" t="str">
        <f t="shared" si="1"/>
        <v>pdf</v>
      </c>
    </row>
    <row r="24" spans="1:20" x14ac:dyDescent="0.25">
      <c r="A24" s="2" t="s">
        <v>56</v>
      </c>
      <c r="B24" s="3" t="s">
        <v>84</v>
      </c>
      <c r="C24" s="2" t="s">
        <v>112</v>
      </c>
      <c r="D24" s="2" t="s">
        <v>21</v>
      </c>
      <c r="E24" s="2">
        <v>0</v>
      </c>
      <c r="F24" s="2" t="s">
        <v>135</v>
      </c>
      <c r="G24" s="2" t="s">
        <v>23</v>
      </c>
      <c r="H24" s="4" t="s">
        <v>164</v>
      </c>
      <c r="I24" s="4" t="s">
        <v>192</v>
      </c>
      <c r="J24" s="4" t="s">
        <v>220</v>
      </c>
      <c r="K24" s="4" t="s">
        <v>248</v>
      </c>
      <c r="L24" s="4" t="s">
        <v>269</v>
      </c>
      <c r="M24" s="4"/>
      <c r="N24" s="4" t="s">
        <v>296</v>
      </c>
      <c r="O24" s="4" t="s">
        <v>324</v>
      </c>
      <c r="P24" s="4" t="s">
        <v>348</v>
      </c>
      <c r="Q24" s="4" t="s">
        <v>370</v>
      </c>
      <c r="R24" s="2" t="s">
        <v>33</v>
      </c>
      <c r="S24" s="6" t="str">
        <f t="shared" si="0"/>
        <v>link</v>
      </c>
      <c r="T24" s="6" t="str">
        <f t="shared" si="1"/>
        <v>pdf</v>
      </c>
    </row>
    <row r="25" spans="1:20" x14ac:dyDescent="0.25">
      <c r="A25" s="2" t="s">
        <v>57</v>
      </c>
      <c r="B25" s="3" t="s">
        <v>85</v>
      </c>
      <c r="C25" s="2" t="s">
        <v>113</v>
      </c>
      <c r="D25" s="2" t="s">
        <v>21</v>
      </c>
      <c r="E25" s="2">
        <v>0</v>
      </c>
      <c r="F25" s="2" t="s">
        <v>137</v>
      </c>
      <c r="G25" s="2" t="s">
        <v>23</v>
      </c>
      <c r="H25" s="4" t="s">
        <v>165</v>
      </c>
      <c r="I25" s="4" t="s">
        <v>193</v>
      </c>
      <c r="J25" s="4" t="s">
        <v>221</v>
      </c>
      <c r="K25" s="4" t="s">
        <v>249</v>
      </c>
      <c r="L25" s="4"/>
      <c r="M25" s="4" t="s">
        <v>273</v>
      </c>
      <c r="N25" s="4" t="s">
        <v>297</v>
      </c>
      <c r="O25" s="4" t="s">
        <v>325</v>
      </c>
      <c r="P25" s="4" t="s">
        <v>349</v>
      </c>
      <c r="Q25" s="4" t="s">
        <v>371</v>
      </c>
      <c r="R25" s="2" t="s">
        <v>33</v>
      </c>
      <c r="S25" s="6" t="str">
        <f t="shared" si="0"/>
        <v>link</v>
      </c>
      <c r="T25" s="6" t="str">
        <f t="shared" si="1"/>
        <v>pdf</v>
      </c>
    </row>
    <row r="26" spans="1:20" x14ac:dyDescent="0.25">
      <c r="A26" s="2" t="s">
        <v>58</v>
      </c>
      <c r="B26" s="3" t="s">
        <v>86</v>
      </c>
      <c r="C26" s="2" t="s">
        <v>114</v>
      </c>
      <c r="D26" s="2" t="s">
        <v>21</v>
      </c>
      <c r="E26" s="2">
        <v>0</v>
      </c>
      <c r="F26" s="2" t="s">
        <v>138</v>
      </c>
      <c r="G26" s="2" t="s">
        <v>23</v>
      </c>
      <c r="H26" s="4" t="s">
        <v>166</v>
      </c>
      <c r="I26" s="4" t="s">
        <v>194</v>
      </c>
      <c r="J26" s="4" t="s">
        <v>222</v>
      </c>
      <c r="K26" s="4" t="s">
        <v>250</v>
      </c>
      <c r="L26" s="4"/>
      <c r="M26" s="4"/>
      <c r="N26" s="4" t="s">
        <v>298</v>
      </c>
      <c r="O26" s="4" t="s">
        <v>326</v>
      </c>
      <c r="P26" s="4" t="s">
        <v>350</v>
      </c>
      <c r="Q26" s="4" t="s">
        <v>372</v>
      </c>
      <c r="R26" s="2" t="s">
        <v>33</v>
      </c>
      <c r="S26" s="6" t="str">
        <f t="shared" si="0"/>
        <v>link</v>
      </c>
      <c r="T26" s="6" t="str">
        <f t="shared" si="1"/>
        <v>pdf</v>
      </c>
    </row>
    <row r="27" spans="1:20" x14ac:dyDescent="0.25">
      <c r="A27" s="2" t="s">
        <v>59</v>
      </c>
      <c r="B27" s="3" t="s">
        <v>87</v>
      </c>
      <c r="C27" s="2" t="s">
        <v>115</v>
      </c>
      <c r="D27" s="2" t="s">
        <v>33</v>
      </c>
      <c r="E27" s="2">
        <v>0</v>
      </c>
      <c r="F27" s="2" t="s">
        <v>139</v>
      </c>
      <c r="G27" s="2" t="s">
        <v>23</v>
      </c>
      <c r="H27" s="4" t="s">
        <v>167</v>
      </c>
      <c r="I27" s="4" t="s">
        <v>195</v>
      </c>
      <c r="J27" s="4" t="s">
        <v>223</v>
      </c>
      <c r="K27" s="4" t="s">
        <v>251</v>
      </c>
      <c r="L27" s="4"/>
      <c r="M27" s="4"/>
      <c r="N27" s="4" t="s">
        <v>299</v>
      </c>
      <c r="O27" s="4" t="s">
        <v>327</v>
      </c>
      <c r="P27" s="4" t="s">
        <v>351</v>
      </c>
      <c r="Q27" s="4" t="s">
        <v>373</v>
      </c>
      <c r="R27" s="2" t="s">
        <v>33</v>
      </c>
      <c r="S27" s="6" t="str">
        <f t="shared" si="0"/>
        <v>link</v>
      </c>
      <c r="T27" s="6" t="str">
        <f t="shared" si="1"/>
        <v>pdf</v>
      </c>
    </row>
    <row r="28" spans="1:20" x14ac:dyDescent="0.25">
      <c r="A28" s="2" t="s">
        <v>60</v>
      </c>
      <c r="B28" s="3" t="s">
        <v>88</v>
      </c>
      <c r="C28" s="2" t="s">
        <v>116</v>
      </c>
      <c r="D28" s="2" t="s">
        <v>33</v>
      </c>
      <c r="E28" s="2">
        <v>0</v>
      </c>
      <c r="F28" s="2" t="s">
        <v>140</v>
      </c>
      <c r="G28" s="2" t="s">
        <v>23</v>
      </c>
      <c r="H28" s="4" t="s">
        <v>168</v>
      </c>
      <c r="I28" s="4" t="s">
        <v>196</v>
      </c>
      <c r="J28" s="4" t="s">
        <v>224</v>
      </c>
      <c r="K28" s="4" t="s">
        <v>252</v>
      </c>
      <c r="L28" s="4"/>
      <c r="M28" s="4"/>
      <c r="N28" s="4" t="s">
        <v>300</v>
      </c>
      <c r="O28" s="4" t="s">
        <v>328</v>
      </c>
      <c r="P28" s="4" t="s">
        <v>352</v>
      </c>
      <c r="Q28" s="4" t="s">
        <v>374</v>
      </c>
      <c r="R28" s="2" t="s">
        <v>33</v>
      </c>
      <c r="S28" s="6" t="str">
        <f t="shared" si="0"/>
        <v>link</v>
      </c>
      <c r="T28" s="6" t="str">
        <f t="shared" si="1"/>
        <v>pdf</v>
      </c>
    </row>
    <row r="29" spans="1:20" x14ac:dyDescent="0.25">
      <c r="A29" s="2" t="s">
        <v>61</v>
      </c>
      <c r="B29" s="3" t="s">
        <v>89</v>
      </c>
      <c r="C29" s="2" t="s">
        <v>117</v>
      </c>
      <c r="D29" s="2" t="s">
        <v>33</v>
      </c>
      <c r="E29" s="2">
        <v>0</v>
      </c>
      <c r="F29" s="2" t="s">
        <v>141</v>
      </c>
      <c r="G29" s="2" t="s">
        <v>23</v>
      </c>
      <c r="H29" s="4" t="s">
        <v>169</v>
      </c>
      <c r="I29" s="4" t="s">
        <v>197</v>
      </c>
      <c r="J29" s="4" t="s">
        <v>225</v>
      </c>
      <c r="K29" s="4" t="s">
        <v>253</v>
      </c>
      <c r="L29" s="4" t="s">
        <v>270</v>
      </c>
      <c r="M29" s="4"/>
      <c r="N29" s="4" t="s">
        <v>301</v>
      </c>
      <c r="O29" s="4" t="s">
        <v>329</v>
      </c>
      <c r="P29" s="4" t="s">
        <v>353</v>
      </c>
      <c r="Q29" s="4" t="s">
        <v>375</v>
      </c>
      <c r="R29" s="2" t="s">
        <v>33</v>
      </c>
      <c r="S29" s="6" t="str">
        <f t="shared" si="0"/>
        <v>link</v>
      </c>
      <c r="T29" s="6" t="str">
        <f t="shared" si="1"/>
        <v>pdf</v>
      </c>
    </row>
    <row r="30" spans="1:20" x14ac:dyDescent="0.25">
      <c r="H30" s="1"/>
      <c r="I30" s="1"/>
      <c r="J30" s="1"/>
      <c r="K30" s="1"/>
      <c r="L30" s="1"/>
      <c r="M30" s="1"/>
      <c r="N30" s="1"/>
      <c r="O30" s="1"/>
      <c r="P30" s="1"/>
      <c r="Q30" s="1"/>
    </row>
    <row r="31" spans="1:20" x14ac:dyDescent="0.25">
      <c r="H31" s="1"/>
      <c r="I31" s="1"/>
      <c r="J31" s="1"/>
      <c r="K31" s="1"/>
      <c r="L31" s="1"/>
      <c r="M31" s="1"/>
      <c r="N31" s="1"/>
      <c r="O31" s="1"/>
      <c r="P31" s="1"/>
      <c r="Q31" s="1"/>
    </row>
    <row r="32" spans="1:20"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row r="41" spans="8:17" x14ac:dyDescent="0.25">
      <c r="H41" s="1"/>
      <c r="I41" s="1"/>
      <c r="J41" s="1"/>
      <c r="K41" s="1"/>
      <c r="L41" s="1"/>
      <c r="M41" s="1"/>
      <c r="N41" s="1"/>
      <c r="O41" s="1"/>
      <c r="P41" s="1"/>
      <c r="Q41" s="1"/>
    </row>
    <row r="42" spans="8:17" x14ac:dyDescent="0.25">
      <c r="H42" s="1"/>
      <c r="I42" s="1"/>
      <c r="J42" s="1"/>
      <c r="K42" s="1"/>
      <c r="L42" s="1"/>
      <c r="M42" s="1"/>
      <c r="N42" s="1"/>
      <c r="O42" s="1"/>
      <c r="P42" s="1"/>
      <c r="Q42" s="1"/>
    </row>
    <row r="43" spans="8:17" x14ac:dyDescent="0.25">
      <c r="H43" s="1"/>
      <c r="I43" s="1"/>
      <c r="J43" s="1"/>
      <c r="K43" s="1"/>
      <c r="L43" s="1"/>
      <c r="M43" s="1"/>
      <c r="N43" s="1"/>
      <c r="O43" s="1"/>
      <c r="P43" s="1"/>
      <c r="Q43" s="1"/>
    </row>
    <row r="44" spans="8:17" x14ac:dyDescent="0.25">
      <c r="H44" s="1"/>
      <c r="I44" s="1"/>
      <c r="J44" s="1"/>
      <c r="K44" s="1"/>
      <c r="L44" s="1"/>
      <c r="M44" s="1"/>
      <c r="N44" s="1"/>
      <c r="O44" s="1"/>
      <c r="P44" s="1"/>
      <c r="Q44" s="1"/>
    </row>
    <row r="45" spans="8:17" x14ac:dyDescent="0.25">
      <c r="H45" s="1"/>
      <c r="I45" s="1"/>
      <c r="J45" s="1"/>
      <c r="K45" s="1"/>
      <c r="L45" s="1"/>
      <c r="M45" s="1"/>
      <c r="N45" s="1"/>
      <c r="O45" s="1"/>
      <c r="P45" s="1"/>
      <c r="Q45" s="1"/>
    </row>
    <row r="46" spans="8:17" x14ac:dyDescent="0.25">
      <c r="H46" s="1"/>
      <c r="I46" s="1"/>
      <c r="J46" s="1"/>
      <c r="K46" s="1"/>
      <c r="L46" s="1"/>
      <c r="M46" s="1"/>
      <c r="N46" s="1"/>
      <c r="O46" s="1"/>
      <c r="P46" s="1"/>
      <c r="Q46" s="1"/>
    </row>
    <row r="47" spans="8:17" x14ac:dyDescent="0.25">
      <c r="H47" s="1"/>
      <c r="I47" s="1"/>
      <c r="J47" s="1"/>
      <c r="K47" s="1"/>
      <c r="L47" s="1"/>
      <c r="M47" s="1"/>
      <c r="N47" s="1"/>
      <c r="O47" s="1"/>
      <c r="P47" s="1"/>
      <c r="Q47" s="1"/>
    </row>
    <row r="48" spans="8:17" x14ac:dyDescent="0.25">
      <c r="H48" s="1"/>
      <c r="I48" s="1"/>
      <c r="J48" s="1"/>
      <c r="K48" s="1"/>
      <c r="L48" s="1"/>
      <c r="M48" s="1"/>
      <c r="N48" s="1"/>
      <c r="O48" s="1"/>
      <c r="P48" s="1"/>
      <c r="Q48" s="1"/>
    </row>
    <row r="49" spans="8:17" x14ac:dyDescent="0.25">
      <c r="H49" s="1"/>
      <c r="I49" s="1"/>
      <c r="J49" s="1"/>
      <c r="K49" s="1"/>
      <c r="L49" s="1"/>
      <c r="M49" s="1"/>
      <c r="N49" s="1"/>
      <c r="O49" s="1"/>
      <c r="P49" s="1"/>
      <c r="Q49" s="1"/>
    </row>
    <row r="50" spans="8:17" x14ac:dyDescent="0.25">
      <c r="H50" s="1"/>
      <c r="I50" s="1"/>
      <c r="J50" s="1"/>
      <c r="K50" s="1"/>
      <c r="L50" s="1"/>
      <c r="M50" s="1"/>
      <c r="N50" s="1"/>
      <c r="O50" s="1"/>
      <c r="P50" s="1"/>
      <c r="Q50" s="1"/>
    </row>
    <row r="51" spans="8:17" x14ac:dyDescent="0.25">
      <c r="H51" s="1"/>
      <c r="I51" s="1"/>
      <c r="J51" s="1"/>
      <c r="K51" s="1"/>
      <c r="L51" s="1"/>
      <c r="M51" s="1"/>
      <c r="N51" s="1"/>
      <c r="O51" s="1"/>
      <c r="P51" s="1"/>
      <c r="Q51" s="1"/>
    </row>
    <row r="52" spans="8:17" x14ac:dyDescent="0.25">
      <c r="H52" s="1"/>
      <c r="I52" s="1"/>
      <c r="J52" s="1"/>
      <c r="K52" s="1"/>
      <c r="L52" s="1"/>
      <c r="M52" s="1"/>
      <c r="N52" s="1"/>
      <c r="O52" s="1"/>
      <c r="P52" s="1"/>
      <c r="Q52" s="1"/>
    </row>
    <row r="53" spans="8:17" x14ac:dyDescent="0.25">
      <c r="H53" s="1"/>
      <c r="I53" s="1"/>
      <c r="J53" s="1"/>
      <c r="K53" s="1"/>
      <c r="L53" s="1"/>
      <c r="M53" s="1"/>
      <c r="N53" s="1"/>
      <c r="O53" s="1"/>
      <c r="P53" s="1"/>
      <c r="Q53" s="1"/>
    </row>
    <row r="54" spans="8:17" x14ac:dyDescent="0.25">
      <c r="H54" s="1"/>
      <c r="I54" s="1"/>
      <c r="J54" s="1"/>
      <c r="K54" s="1"/>
      <c r="L54" s="1"/>
      <c r="M54" s="1"/>
      <c r="N54" s="1"/>
      <c r="O54" s="1"/>
      <c r="P54" s="1"/>
      <c r="Q54" s="1"/>
    </row>
    <row r="55" spans="8:17" x14ac:dyDescent="0.25">
      <c r="H55" s="1"/>
      <c r="I55" s="1"/>
      <c r="J55" s="1"/>
      <c r="K55" s="1"/>
      <c r="L55" s="1"/>
      <c r="M55" s="1"/>
      <c r="N55" s="1"/>
      <c r="O55" s="1"/>
      <c r="P55" s="1"/>
      <c r="Q55" s="1"/>
    </row>
    <row r="56" spans="8:17" x14ac:dyDescent="0.25">
      <c r="H56" s="1"/>
      <c r="I56" s="1"/>
      <c r="J56" s="1"/>
      <c r="K56" s="1"/>
      <c r="L56" s="1"/>
      <c r="M56" s="1"/>
      <c r="N56" s="1"/>
      <c r="O56" s="1"/>
      <c r="P56" s="1"/>
      <c r="Q56" s="1"/>
    </row>
    <row r="57" spans="8:17" x14ac:dyDescent="0.25">
      <c r="H57" s="1"/>
      <c r="I57" s="1"/>
      <c r="J57" s="1"/>
      <c r="K57" s="1"/>
      <c r="L57" s="1"/>
      <c r="M57" s="1"/>
      <c r="N57" s="1"/>
      <c r="O57" s="1"/>
      <c r="P57" s="1"/>
      <c r="Q57" s="1"/>
    </row>
    <row r="58" spans="8:17" x14ac:dyDescent="0.25">
      <c r="H58" s="1"/>
      <c r="I58" s="1"/>
      <c r="J58" s="1"/>
      <c r="K58" s="1"/>
      <c r="L58" s="1"/>
      <c r="M58" s="1"/>
      <c r="N58" s="1"/>
      <c r="O58" s="1"/>
      <c r="P58" s="1"/>
      <c r="Q58" s="1"/>
    </row>
    <row r="59" spans="8:17" x14ac:dyDescent="0.25">
      <c r="H59" s="1"/>
      <c r="I59" s="1"/>
      <c r="J59" s="1"/>
      <c r="K59" s="1"/>
      <c r="L59" s="1"/>
      <c r="M59" s="1"/>
      <c r="N59" s="1"/>
      <c r="O59" s="1"/>
      <c r="P59" s="1"/>
      <c r="Q59" s="1"/>
    </row>
    <row r="60" spans="8:17" x14ac:dyDescent="0.25">
      <c r="H60" s="1"/>
      <c r="I60" s="1"/>
      <c r="J60" s="1"/>
      <c r="K60" s="1"/>
      <c r="L60" s="1"/>
      <c r="M60" s="1"/>
      <c r="N60" s="1"/>
      <c r="O60" s="1"/>
      <c r="P60" s="1"/>
      <c r="Q60" s="1"/>
    </row>
    <row r="61" spans="8:17" x14ac:dyDescent="0.25">
      <c r="H61" s="1"/>
      <c r="I61" s="1"/>
      <c r="J61" s="1"/>
      <c r="K61" s="1"/>
      <c r="L61" s="1"/>
      <c r="M61" s="1"/>
      <c r="N61" s="1"/>
      <c r="O61" s="1"/>
      <c r="P61" s="1"/>
      <c r="Q61" s="1"/>
    </row>
    <row r="62" spans="8:17" x14ac:dyDescent="0.25">
      <c r="H62" s="1"/>
      <c r="I62" s="1"/>
      <c r="J62" s="1"/>
      <c r="K62" s="1"/>
      <c r="L62" s="1"/>
      <c r="M62" s="1"/>
      <c r="N62" s="1"/>
      <c r="O62" s="1"/>
      <c r="P62" s="1"/>
      <c r="Q62" s="1"/>
    </row>
    <row r="63" spans="8:17" x14ac:dyDescent="0.25">
      <c r="H63" s="1"/>
      <c r="I63" s="1"/>
      <c r="J63" s="1"/>
      <c r="K63" s="1"/>
      <c r="L63" s="1"/>
      <c r="M63" s="1"/>
      <c r="N63" s="1"/>
      <c r="O63" s="1"/>
      <c r="P63" s="1"/>
      <c r="Q63" s="1"/>
    </row>
    <row r="64" spans="8:17" x14ac:dyDescent="0.25">
      <c r="H64" s="1"/>
      <c r="I64" s="1"/>
      <c r="J64" s="1"/>
      <c r="K64" s="1"/>
      <c r="L64" s="1"/>
      <c r="M64" s="1"/>
      <c r="N64" s="1"/>
      <c r="O64" s="1"/>
      <c r="P64" s="1"/>
      <c r="Q64" s="1"/>
    </row>
    <row r="65" spans="8:17" x14ac:dyDescent="0.25">
      <c r="H65" s="1"/>
      <c r="I65" s="1"/>
      <c r="J65" s="1"/>
      <c r="K65" s="1"/>
      <c r="L65" s="1"/>
      <c r="M65" s="1"/>
      <c r="N65" s="1"/>
      <c r="O65" s="1"/>
      <c r="P65" s="1"/>
      <c r="Q65" s="1"/>
    </row>
    <row r="66" spans="8:17" x14ac:dyDescent="0.25">
      <c r="H66" s="1"/>
      <c r="I66" s="1"/>
      <c r="J66" s="1"/>
      <c r="K66" s="1"/>
      <c r="L66" s="1"/>
      <c r="M66" s="1"/>
      <c r="N66" s="1"/>
      <c r="O66" s="1"/>
      <c r="P66" s="1"/>
      <c r="Q66" s="1"/>
    </row>
    <row r="67" spans="8:17" x14ac:dyDescent="0.25">
      <c r="H67" s="1"/>
      <c r="I67" s="1"/>
      <c r="J67" s="1"/>
      <c r="K67" s="1"/>
      <c r="L67" s="1"/>
      <c r="M67" s="1"/>
      <c r="N67" s="1"/>
      <c r="O67" s="1"/>
      <c r="P67" s="1"/>
      <c r="Q67" s="1"/>
    </row>
    <row r="68" spans="8:17" x14ac:dyDescent="0.25">
      <c r="H68" s="1"/>
      <c r="I68" s="1"/>
      <c r="J68" s="1"/>
      <c r="K68" s="1"/>
      <c r="L68" s="1"/>
      <c r="M68" s="1"/>
      <c r="N68" s="1"/>
      <c r="O68" s="1"/>
      <c r="P68" s="1"/>
      <c r="Q68" s="1"/>
    </row>
    <row r="69" spans="8:17" x14ac:dyDescent="0.25">
      <c r="H69" s="1"/>
      <c r="I69" s="1"/>
      <c r="J69" s="1"/>
      <c r="K69" s="1"/>
      <c r="L69" s="1"/>
      <c r="M69" s="1"/>
      <c r="N69" s="1"/>
      <c r="O69" s="1"/>
      <c r="P69" s="1"/>
      <c r="Q69" s="1"/>
    </row>
    <row r="70" spans="8:17" x14ac:dyDescent="0.25">
      <c r="H70" s="1"/>
      <c r="I70" s="1"/>
      <c r="J70" s="1"/>
      <c r="K70" s="1"/>
      <c r="L70" s="1"/>
      <c r="M70" s="1"/>
      <c r="N70" s="1"/>
      <c r="O70" s="1"/>
      <c r="P70" s="1"/>
      <c r="Q70" s="1"/>
    </row>
    <row r="71" spans="8:17" x14ac:dyDescent="0.25">
      <c r="H71" s="1"/>
      <c r="I71" s="1"/>
      <c r="J71" s="1"/>
      <c r="K71" s="1"/>
      <c r="L71" s="1"/>
      <c r="M71" s="1"/>
      <c r="N71" s="1"/>
      <c r="O71" s="1"/>
      <c r="P71" s="1"/>
      <c r="Q71" s="1"/>
    </row>
    <row r="72" spans="8:17" x14ac:dyDescent="0.25">
      <c r="H72" s="1"/>
      <c r="I72" s="1"/>
      <c r="J72" s="1"/>
      <c r="K72" s="1"/>
      <c r="L72" s="1"/>
      <c r="M72" s="1"/>
      <c r="N72" s="1"/>
      <c r="O72" s="1"/>
      <c r="P72" s="1"/>
      <c r="Q72" s="1"/>
    </row>
    <row r="73" spans="8:17" x14ac:dyDescent="0.25">
      <c r="H73" s="1"/>
      <c r="I73" s="1"/>
      <c r="J73" s="1"/>
      <c r="K73" s="1"/>
      <c r="L73" s="1"/>
      <c r="M73" s="1"/>
      <c r="N73" s="1"/>
      <c r="O73" s="1"/>
      <c r="P73" s="1"/>
      <c r="Q73" s="1"/>
    </row>
    <row r="74" spans="8:17" x14ac:dyDescent="0.25">
      <c r="H74" s="1"/>
      <c r="I74" s="1"/>
      <c r="J74" s="1"/>
      <c r="K74" s="1"/>
      <c r="L74" s="1"/>
      <c r="M74" s="1"/>
      <c r="N74" s="1"/>
      <c r="O74" s="1"/>
      <c r="P74" s="1"/>
      <c r="Q74" s="1"/>
    </row>
    <row r="75" spans="8:17" x14ac:dyDescent="0.25">
      <c r="H75" s="1"/>
      <c r="I75" s="1"/>
      <c r="J75" s="1"/>
      <c r="K75" s="1"/>
      <c r="L75" s="1"/>
      <c r="M75" s="1"/>
      <c r="N75" s="1"/>
      <c r="O75" s="1"/>
      <c r="P75" s="1"/>
      <c r="Q75" s="1"/>
    </row>
    <row r="76" spans="8:17" x14ac:dyDescent="0.25">
      <c r="H76" s="1"/>
      <c r="I76" s="1"/>
      <c r="J76" s="1"/>
      <c r="K76" s="1"/>
      <c r="L76" s="1"/>
      <c r="M76" s="1"/>
      <c r="N76" s="1"/>
      <c r="O76" s="1"/>
      <c r="P76" s="1"/>
      <c r="Q76" s="1"/>
    </row>
    <row r="77" spans="8:17" x14ac:dyDescent="0.25">
      <c r="H77" s="1"/>
      <c r="I77" s="1"/>
      <c r="J77" s="1"/>
      <c r="K77" s="1"/>
      <c r="L77" s="1"/>
      <c r="M77" s="1"/>
      <c r="N77" s="1"/>
      <c r="O77" s="1"/>
      <c r="P77" s="1"/>
      <c r="Q77" s="1"/>
    </row>
    <row r="78" spans="8:17" x14ac:dyDescent="0.25">
      <c r="H78" s="1"/>
      <c r="I78" s="1"/>
      <c r="J78" s="1"/>
      <c r="K78" s="1"/>
      <c r="L78" s="1"/>
      <c r="M78" s="1"/>
      <c r="N78" s="1"/>
      <c r="O78" s="1"/>
      <c r="P78" s="1"/>
      <c r="Q78" s="1"/>
    </row>
    <row r="79" spans="8:17" x14ac:dyDescent="0.25">
      <c r="H79" s="1"/>
      <c r="I79" s="1"/>
      <c r="J79" s="1"/>
      <c r="K79" s="1"/>
      <c r="L79" s="1"/>
      <c r="M79" s="1"/>
      <c r="N79" s="1"/>
      <c r="O79" s="1"/>
      <c r="P79" s="1"/>
      <c r="Q79" s="1"/>
    </row>
    <row r="80" spans="8:17" x14ac:dyDescent="0.25">
      <c r="H80" s="1"/>
      <c r="I80" s="1"/>
      <c r="J80" s="1"/>
      <c r="K80" s="1"/>
      <c r="L80" s="1"/>
      <c r="M80" s="1"/>
      <c r="N80" s="1"/>
      <c r="O80" s="1"/>
      <c r="P80" s="1"/>
      <c r="Q80" s="1"/>
    </row>
    <row r="81" spans="8:17" x14ac:dyDescent="0.25">
      <c r="H81" s="1"/>
      <c r="I81" s="1"/>
      <c r="J81" s="1"/>
      <c r="K81" s="1"/>
      <c r="L81" s="1"/>
      <c r="M81" s="1"/>
      <c r="N81" s="1"/>
      <c r="O81" s="1"/>
      <c r="P81" s="1"/>
      <c r="Q81" s="1"/>
    </row>
    <row r="82" spans="8:17" x14ac:dyDescent="0.25">
      <c r="H82" s="1"/>
      <c r="I82" s="1"/>
      <c r="J82" s="1"/>
      <c r="K82" s="1"/>
      <c r="L82" s="1"/>
      <c r="M82" s="1"/>
      <c r="N82" s="1"/>
      <c r="O82" s="1"/>
      <c r="P82" s="1"/>
      <c r="Q82" s="1"/>
    </row>
    <row r="83" spans="8:17" x14ac:dyDescent="0.25">
      <c r="H83" s="1"/>
      <c r="I83" s="1"/>
      <c r="J83" s="1"/>
      <c r="K83" s="1"/>
      <c r="L83" s="1"/>
      <c r="M83" s="1"/>
      <c r="N83" s="1"/>
      <c r="O83" s="1"/>
      <c r="P83" s="1"/>
      <c r="Q83" s="1"/>
    </row>
    <row r="84" spans="8:17" x14ac:dyDescent="0.25">
      <c r="H84" s="1"/>
      <c r="I84" s="1"/>
      <c r="J84" s="1"/>
      <c r="K84" s="1"/>
      <c r="L84" s="1"/>
      <c r="M84" s="1"/>
      <c r="N84" s="1"/>
      <c r="O84" s="1"/>
      <c r="P84" s="1"/>
      <c r="Q84" s="1"/>
    </row>
    <row r="85" spans="8:17" x14ac:dyDescent="0.25">
      <c r="H85" s="1"/>
      <c r="I85" s="1"/>
      <c r="J85" s="1"/>
      <c r="K85" s="1"/>
      <c r="L85" s="1"/>
      <c r="M85" s="1"/>
      <c r="N85" s="1"/>
      <c r="O85" s="1"/>
      <c r="P85" s="1"/>
      <c r="Q85" s="1"/>
    </row>
    <row r="86" spans="8:17" x14ac:dyDescent="0.25">
      <c r="H86" s="1"/>
      <c r="I86" s="1"/>
      <c r="J86" s="1"/>
      <c r="K86" s="1"/>
      <c r="L86" s="1"/>
      <c r="M86" s="1"/>
      <c r="N86" s="1"/>
      <c r="O86" s="1"/>
      <c r="P86" s="1"/>
      <c r="Q86" s="1"/>
    </row>
    <row r="87" spans="8:17" x14ac:dyDescent="0.25">
      <c r="H87" s="1"/>
      <c r="I87" s="1"/>
      <c r="J87" s="1"/>
      <c r="K87" s="1"/>
      <c r="L87" s="1"/>
      <c r="M87" s="1"/>
      <c r="N87" s="1"/>
      <c r="O87" s="1"/>
      <c r="P87" s="1"/>
      <c r="Q87" s="1"/>
    </row>
    <row r="88" spans="8:17" x14ac:dyDescent="0.25">
      <c r="H88" s="1"/>
      <c r="I88" s="1"/>
      <c r="J88" s="1"/>
      <c r="K88" s="1"/>
      <c r="L88" s="1"/>
      <c r="M88" s="1"/>
      <c r="N88" s="1"/>
      <c r="O88" s="1"/>
      <c r="P88" s="1"/>
      <c r="Q88" s="1"/>
    </row>
    <row r="89" spans="8:17" x14ac:dyDescent="0.25">
      <c r="H89" s="1"/>
      <c r="I89" s="1"/>
      <c r="J89" s="1"/>
      <c r="K89" s="1"/>
      <c r="L89" s="1"/>
      <c r="M89" s="1"/>
      <c r="N89" s="1"/>
      <c r="O89" s="1"/>
      <c r="P89" s="1"/>
      <c r="Q89" s="1"/>
    </row>
    <row r="90" spans="8:17" x14ac:dyDescent="0.25">
      <c r="H90" s="1"/>
      <c r="I90" s="1"/>
      <c r="J90" s="1"/>
      <c r="K90" s="1"/>
      <c r="L90" s="1"/>
      <c r="M90" s="1"/>
      <c r="N90" s="1"/>
      <c r="O90" s="1"/>
      <c r="P90" s="1"/>
      <c r="Q90" s="1"/>
    </row>
    <row r="91" spans="8:17" x14ac:dyDescent="0.25">
      <c r="H91" s="1"/>
      <c r="I91" s="1"/>
      <c r="J91" s="1"/>
      <c r="K91" s="1"/>
      <c r="L91" s="1"/>
      <c r="M91" s="1"/>
      <c r="N91" s="1"/>
      <c r="O91" s="1"/>
      <c r="P91" s="1"/>
      <c r="Q91" s="1"/>
    </row>
    <row r="92" spans="8:17" x14ac:dyDescent="0.25">
      <c r="H92" s="1"/>
      <c r="I92" s="1"/>
      <c r="J92" s="1"/>
      <c r="K92" s="1"/>
      <c r="L92" s="1"/>
      <c r="M92" s="1"/>
      <c r="N92" s="1"/>
      <c r="O92" s="1"/>
      <c r="P92" s="1"/>
      <c r="Q92" s="1"/>
    </row>
    <row r="93" spans="8:17" x14ac:dyDescent="0.25">
      <c r="H93" s="1"/>
      <c r="I93" s="1"/>
      <c r="J93" s="1"/>
      <c r="K93" s="1"/>
      <c r="L93" s="1"/>
      <c r="M93" s="1"/>
      <c r="N93" s="1"/>
      <c r="O93" s="1"/>
      <c r="P93" s="1"/>
      <c r="Q93" s="1"/>
    </row>
    <row r="94" spans="8:17" x14ac:dyDescent="0.25">
      <c r="H94" s="1"/>
      <c r="I94" s="1"/>
      <c r="J94" s="1"/>
      <c r="K94" s="1"/>
      <c r="L94" s="1"/>
      <c r="M94" s="1"/>
      <c r="N94" s="1"/>
      <c r="O94" s="1"/>
      <c r="P94" s="1"/>
      <c r="Q94" s="1"/>
    </row>
    <row r="95" spans="8:17" x14ac:dyDescent="0.25">
      <c r="H95" s="1"/>
      <c r="I95" s="1"/>
      <c r="J95" s="1"/>
      <c r="K95" s="1"/>
      <c r="L95" s="1"/>
      <c r="M95" s="1"/>
      <c r="N95" s="1"/>
      <c r="O95" s="1"/>
      <c r="P95" s="1"/>
      <c r="Q95" s="1"/>
    </row>
    <row r="96" spans="8:17" x14ac:dyDescent="0.25">
      <c r="H96" s="1"/>
      <c r="I96" s="1"/>
      <c r="J96" s="1"/>
      <c r="K96" s="1"/>
      <c r="L96" s="1"/>
      <c r="M96" s="1"/>
      <c r="N96" s="1"/>
      <c r="O96" s="1"/>
      <c r="P96" s="1"/>
      <c r="Q96" s="1"/>
    </row>
    <row r="97" spans="8:17" x14ac:dyDescent="0.25">
      <c r="H97" s="1"/>
      <c r="I97" s="1"/>
      <c r="J97" s="1"/>
      <c r="K97" s="1"/>
      <c r="L97" s="1"/>
      <c r="M97" s="1"/>
      <c r="N97" s="1"/>
      <c r="O97" s="1"/>
      <c r="P97" s="1"/>
      <c r="Q97" s="1"/>
    </row>
    <row r="98" spans="8:17" x14ac:dyDescent="0.25">
      <c r="H98" s="1"/>
      <c r="I98" s="1"/>
      <c r="J98" s="1"/>
      <c r="K98" s="1"/>
      <c r="L98" s="1"/>
      <c r="M98" s="1"/>
      <c r="N98" s="1"/>
      <c r="O98" s="1"/>
      <c r="P98" s="1"/>
      <c r="Q98" s="1"/>
    </row>
    <row r="99" spans="8:17" x14ac:dyDescent="0.25">
      <c r="H99" s="1"/>
      <c r="I99" s="1"/>
      <c r="J99" s="1"/>
      <c r="K99" s="1"/>
      <c r="L99" s="1"/>
      <c r="M99" s="1"/>
      <c r="N99" s="1"/>
      <c r="O99" s="1"/>
      <c r="P99" s="1"/>
      <c r="Q99" s="1"/>
    </row>
    <row r="100" spans="8:17" x14ac:dyDescent="0.25">
      <c r="H100" s="1"/>
      <c r="I100" s="1"/>
      <c r="J100" s="1"/>
      <c r="K100" s="1"/>
      <c r="L100" s="1"/>
      <c r="M100" s="1"/>
      <c r="N100" s="1"/>
      <c r="O100" s="1"/>
      <c r="P100" s="1"/>
      <c r="Q100" s="1"/>
    </row>
  </sheetData>
  <conditionalFormatting sqref="A2:R29">
    <cfRule type="expression" dxfId="11" priority="1" stopIfTrue="1">
      <formula>A2=""</formula>
    </cfRule>
    <cfRule type="expression" dxfId="10" priority="2" stopIfTrue="1">
      <formula>$R2="True"</formula>
    </cfRule>
    <cfRule type="expression" dxfId="9" priority="3" stopIfTrue="1">
      <formula>$R2="False"</formula>
    </cfRule>
  </conditionalFormatting>
  <hyperlinks>
    <hyperlink ref="B2" r:id="rId1" xr:uid="{00000000-0004-0000-0100-000000000000}"/>
    <hyperlink ref="B3" r:id="rId2" xr:uid="{00000000-0004-0000-0100-000001000000}"/>
    <hyperlink ref="B4" r:id="rId3" xr:uid="{00000000-0004-0000-0100-000002000000}"/>
    <hyperlink ref="B5" r:id="rId4" xr:uid="{00000000-0004-0000-0100-000003000000}"/>
    <hyperlink ref="B6" r:id="rId5" xr:uid="{00000000-0004-0000-0100-000004000000}"/>
    <hyperlink ref="B7" r:id="rId6" xr:uid="{00000000-0004-0000-0100-000005000000}"/>
    <hyperlink ref="B8" r:id="rId7" xr:uid="{00000000-0004-0000-0100-000006000000}"/>
    <hyperlink ref="B9" r:id="rId8" xr:uid="{00000000-0004-0000-0100-000007000000}"/>
    <hyperlink ref="B10" r:id="rId9" xr:uid="{00000000-0004-0000-0100-000008000000}"/>
    <hyperlink ref="B11" r:id="rId10" xr:uid="{00000000-0004-0000-0100-000009000000}"/>
    <hyperlink ref="B12" r:id="rId11" xr:uid="{00000000-0004-0000-0100-00000A000000}"/>
    <hyperlink ref="B13" r:id="rId12" xr:uid="{00000000-0004-0000-0100-00000B000000}"/>
    <hyperlink ref="B14" r:id="rId13" xr:uid="{00000000-0004-0000-0100-00000C000000}"/>
    <hyperlink ref="B15" r:id="rId14" xr:uid="{00000000-0004-0000-0100-00000D000000}"/>
    <hyperlink ref="B16" r:id="rId15" xr:uid="{00000000-0004-0000-0100-00000E000000}"/>
    <hyperlink ref="B17" r:id="rId16" xr:uid="{00000000-0004-0000-0100-00000F000000}"/>
    <hyperlink ref="B18" r:id="rId17" xr:uid="{00000000-0004-0000-0100-000010000000}"/>
    <hyperlink ref="B19" r:id="rId18" xr:uid="{00000000-0004-0000-0100-000011000000}"/>
    <hyperlink ref="B20" r:id="rId19" xr:uid="{00000000-0004-0000-0100-000012000000}"/>
    <hyperlink ref="B21" r:id="rId20" xr:uid="{00000000-0004-0000-0100-000013000000}"/>
    <hyperlink ref="B22" r:id="rId21" xr:uid="{00000000-0004-0000-0100-000014000000}"/>
    <hyperlink ref="B23" r:id="rId22" xr:uid="{00000000-0004-0000-0100-000015000000}"/>
    <hyperlink ref="B24" r:id="rId23" xr:uid="{00000000-0004-0000-0100-000016000000}"/>
    <hyperlink ref="B25" r:id="rId24" xr:uid="{00000000-0004-0000-0100-000017000000}"/>
    <hyperlink ref="B26" r:id="rId25" xr:uid="{00000000-0004-0000-0100-000018000000}"/>
    <hyperlink ref="B27" r:id="rId26" xr:uid="{00000000-0004-0000-0100-000019000000}"/>
    <hyperlink ref="B28" r:id="rId27" xr:uid="{00000000-0004-0000-0100-00001A000000}"/>
    <hyperlink ref="B29" r:id="rId28" xr:uid="{00000000-0004-0000-0100-00001B000000}"/>
  </hyperlinks>
  <pageMargins left="0.7" right="0.7" top="0.75" bottom="0.75" header="0.3" footer="0.3"/>
  <legacyDrawing r:id="rId2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T100"/>
  <sheetViews>
    <sheetView workbookViewId="0">
      <selection activeCell="R3" sqref="R3"/>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376</v>
      </c>
      <c r="B2" s="3" t="s">
        <v>377</v>
      </c>
      <c r="C2" s="2" t="s">
        <v>378</v>
      </c>
      <c r="D2" s="2" t="s">
        <v>33</v>
      </c>
      <c r="E2" s="2">
        <v>0</v>
      </c>
      <c r="F2" s="2" t="s">
        <v>379</v>
      </c>
      <c r="G2" s="2" t="s">
        <v>23</v>
      </c>
      <c r="H2" s="4" t="s">
        <v>380</v>
      </c>
      <c r="I2" s="4" t="s">
        <v>381</v>
      </c>
      <c r="J2" s="4" t="s">
        <v>382</v>
      </c>
      <c r="K2" s="4" t="s">
        <v>383</v>
      </c>
      <c r="L2" s="4" t="s">
        <v>384</v>
      </c>
      <c r="M2" s="4"/>
      <c r="N2" s="4" t="s">
        <v>385</v>
      </c>
      <c r="O2" s="4" t="s">
        <v>386</v>
      </c>
      <c r="P2" s="4" t="s">
        <v>387</v>
      </c>
      <c r="Q2" s="4" t="s">
        <v>388</v>
      </c>
      <c r="R2" s="2" t="s">
        <v>33</v>
      </c>
      <c r="S2" s="6" t="str">
        <f>HYPERLINK(B2,"link")</f>
        <v>link</v>
      </c>
      <c r="T2" s="6" t="str">
        <f>HYPERLINK(C2,"pdf")</f>
        <v>pdf</v>
      </c>
    </row>
    <row r="3" spans="1:20" x14ac:dyDescent="0.25">
      <c r="H3" s="1"/>
      <c r="I3" s="1"/>
      <c r="J3" s="1"/>
      <c r="K3" s="1"/>
      <c r="L3" s="1"/>
      <c r="M3" s="1"/>
      <c r="N3" s="1"/>
      <c r="O3" s="1"/>
      <c r="P3" s="1"/>
      <c r="Q3" s="1"/>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row r="15" spans="1:20" x14ac:dyDescent="0.25">
      <c r="H15" s="1"/>
      <c r="I15" s="1"/>
      <c r="J15" s="1"/>
      <c r="K15" s="1"/>
      <c r="L15" s="1"/>
      <c r="M15" s="1"/>
      <c r="N15" s="1"/>
      <c r="O15" s="1"/>
      <c r="P15" s="1"/>
      <c r="Q15" s="1"/>
    </row>
    <row r="16" spans="1:20" x14ac:dyDescent="0.25">
      <c r="H16" s="1"/>
      <c r="I16" s="1"/>
      <c r="J16" s="1"/>
      <c r="K16" s="1"/>
      <c r="L16" s="1"/>
      <c r="M16" s="1"/>
      <c r="N16" s="1"/>
      <c r="O16" s="1"/>
      <c r="P16" s="1"/>
      <c r="Q16" s="1"/>
    </row>
    <row r="17" spans="8:17" x14ac:dyDescent="0.25">
      <c r="H17" s="1"/>
      <c r="I17" s="1"/>
      <c r="J17" s="1"/>
      <c r="K17" s="1"/>
      <c r="L17" s="1"/>
      <c r="M17" s="1"/>
      <c r="N17" s="1"/>
      <c r="O17" s="1"/>
      <c r="P17" s="1"/>
      <c r="Q17" s="1"/>
    </row>
    <row r="18" spans="8:17" x14ac:dyDescent="0.25">
      <c r="H18" s="1"/>
      <c r="I18" s="1"/>
      <c r="J18" s="1"/>
      <c r="K18" s="1"/>
      <c r="L18" s="1"/>
      <c r="M18" s="1"/>
      <c r="N18" s="1"/>
      <c r="O18" s="1"/>
      <c r="P18" s="1"/>
      <c r="Q18" s="1"/>
    </row>
    <row r="19" spans="8:17" x14ac:dyDescent="0.25">
      <c r="H19" s="1"/>
      <c r="I19" s="1"/>
      <c r="J19" s="1"/>
      <c r="K19" s="1"/>
      <c r="L19" s="1"/>
      <c r="M19" s="1"/>
      <c r="N19" s="1"/>
      <c r="O19" s="1"/>
      <c r="P19" s="1"/>
      <c r="Q19" s="1"/>
    </row>
    <row r="20" spans="8:17" x14ac:dyDescent="0.25">
      <c r="H20" s="1"/>
      <c r="I20" s="1"/>
      <c r="J20" s="1"/>
      <c r="K20" s="1"/>
      <c r="L20" s="1"/>
      <c r="M20" s="1"/>
      <c r="N20" s="1"/>
      <c r="O20" s="1"/>
      <c r="P20" s="1"/>
      <c r="Q20" s="1"/>
    </row>
    <row r="21" spans="8:17" x14ac:dyDescent="0.25">
      <c r="H21" s="1"/>
      <c r="I21" s="1"/>
      <c r="J21" s="1"/>
      <c r="K21" s="1"/>
      <c r="L21" s="1"/>
      <c r="M21" s="1"/>
      <c r="N21" s="1"/>
      <c r="O21" s="1"/>
      <c r="P21" s="1"/>
      <c r="Q21" s="1"/>
    </row>
    <row r="22" spans="8:17" x14ac:dyDescent="0.25">
      <c r="H22" s="1"/>
      <c r="I22" s="1"/>
      <c r="J22" s="1"/>
      <c r="K22" s="1"/>
      <c r="L22" s="1"/>
      <c r="M22" s="1"/>
      <c r="N22" s="1"/>
      <c r="O22" s="1"/>
      <c r="P22" s="1"/>
      <c r="Q22" s="1"/>
    </row>
    <row r="23" spans="8:17" x14ac:dyDescent="0.25">
      <c r="H23" s="1"/>
      <c r="I23" s="1"/>
      <c r="J23" s="1"/>
      <c r="K23" s="1"/>
      <c r="L23" s="1"/>
      <c r="M23" s="1"/>
      <c r="N23" s="1"/>
      <c r="O23" s="1"/>
      <c r="P23" s="1"/>
      <c r="Q23" s="1"/>
    </row>
    <row r="24" spans="8:17" x14ac:dyDescent="0.25">
      <c r="H24" s="1"/>
      <c r="I24" s="1"/>
      <c r="J24" s="1"/>
      <c r="K24" s="1"/>
      <c r="L24" s="1"/>
      <c r="M24" s="1"/>
      <c r="N24" s="1"/>
      <c r="O24" s="1"/>
      <c r="P24" s="1"/>
      <c r="Q24" s="1"/>
    </row>
    <row r="25" spans="8:17" x14ac:dyDescent="0.25">
      <c r="H25" s="1"/>
      <c r="I25" s="1"/>
      <c r="J25" s="1"/>
      <c r="K25" s="1"/>
      <c r="L25" s="1"/>
      <c r="M25" s="1"/>
      <c r="N25" s="1"/>
      <c r="O25" s="1"/>
      <c r="P25" s="1"/>
      <c r="Q25" s="1"/>
    </row>
    <row r="26" spans="8:17" x14ac:dyDescent="0.25">
      <c r="H26" s="1"/>
      <c r="I26" s="1"/>
      <c r="J26" s="1"/>
      <c r="K26" s="1"/>
      <c r="L26" s="1"/>
      <c r="M26" s="1"/>
      <c r="N26" s="1"/>
      <c r="O26" s="1"/>
      <c r="P26" s="1"/>
      <c r="Q26" s="1"/>
    </row>
    <row r="27" spans="8:17" x14ac:dyDescent="0.25">
      <c r="H27" s="1"/>
      <c r="I27" s="1"/>
      <c r="J27" s="1"/>
      <c r="K27" s="1"/>
      <c r="L27" s="1"/>
      <c r="M27" s="1"/>
      <c r="N27" s="1"/>
      <c r="O27" s="1"/>
      <c r="P27" s="1"/>
      <c r="Q27" s="1"/>
    </row>
    <row r="28" spans="8:17" x14ac:dyDescent="0.25">
      <c r="H28" s="1"/>
      <c r="I28" s="1"/>
      <c r="J28" s="1"/>
      <c r="K28" s="1"/>
      <c r="L28" s="1"/>
      <c r="M28" s="1"/>
      <c r="N28" s="1"/>
      <c r="O28" s="1"/>
      <c r="P28" s="1"/>
      <c r="Q28" s="1"/>
    </row>
    <row r="29" spans="8:17" x14ac:dyDescent="0.25">
      <c r="H29" s="1"/>
      <c r="I29" s="1"/>
      <c r="J29" s="1"/>
      <c r="K29" s="1"/>
      <c r="L29" s="1"/>
      <c r="M29" s="1"/>
      <c r="N29" s="1"/>
      <c r="O29" s="1"/>
      <c r="P29" s="1"/>
      <c r="Q29" s="1"/>
    </row>
    <row r="30" spans="8:17" x14ac:dyDescent="0.25">
      <c r="H30" s="1"/>
      <c r="I30" s="1"/>
      <c r="J30" s="1"/>
      <c r="K30" s="1"/>
      <c r="L30" s="1"/>
      <c r="M30" s="1"/>
      <c r="N30" s="1"/>
      <c r="O30" s="1"/>
      <c r="P30" s="1"/>
      <c r="Q30" s="1"/>
    </row>
    <row r="31" spans="8:17" x14ac:dyDescent="0.25">
      <c r="H31" s="1"/>
      <c r="I31" s="1"/>
      <c r="J31" s="1"/>
      <c r="K31" s="1"/>
      <c r="L31" s="1"/>
      <c r="M31" s="1"/>
      <c r="N31" s="1"/>
      <c r="O31" s="1"/>
      <c r="P31" s="1"/>
      <c r="Q31" s="1"/>
    </row>
    <row r="32" spans="8:17"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row r="41" spans="8:17" x14ac:dyDescent="0.25">
      <c r="H41" s="1"/>
      <c r="I41" s="1"/>
      <c r="J41" s="1"/>
      <c r="K41" s="1"/>
      <c r="L41" s="1"/>
      <c r="M41" s="1"/>
      <c r="N41" s="1"/>
      <c r="O41" s="1"/>
      <c r="P41" s="1"/>
      <c r="Q41" s="1"/>
    </row>
    <row r="42" spans="8:17" x14ac:dyDescent="0.25">
      <c r="H42" s="1"/>
      <c r="I42" s="1"/>
      <c r="J42" s="1"/>
      <c r="K42" s="1"/>
      <c r="L42" s="1"/>
      <c r="M42" s="1"/>
      <c r="N42" s="1"/>
      <c r="O42" s="1"/>
      <c r="P42" s="1"/>
      <c r="Q42" s="1"/>
    </row>
    <row r="43" spans="8:17" x14ac:dyDescent="0.25">
      <c r="H43" s="1"/>
      <c r="I43" s="1"/>
      <c r="J43" s="1"/>
      <c r="K43" s="1"/>
      <c r="L43" s="1"/>
      <c r="M43" s="1"/>
      <c r="N43" s="1"/>
      <c r="O43" s="1"/>
      <c r="P43" s="1"/>
      <c r="Q43" s="1"/>
    </row>
    <row r="44" spans="8:17" x14ac:dyDescent="0.25">
      <c r="H44" s="1"/>
      <c r="I44" s="1"/>
      <c r="J44" s="1"/>
      <c r="K44" s="1"/>
      <c r="L44" s="1"/>
      <c r="M44" s="1"/>
      <c r="N44" s="1"/>
      <c r="O44" s="1"/>
      <c r="P44" s="1"/>
      <c r="Q44" s="1"/>
    </row>
    <row r="45" spans="8:17" x14ac:dyDescent="0.25">
      <c r="H45" s="1"/>
      <c r="I45" s="1"/>
      <c r="J45" s="1"/>
      <c r="K45" s="1"/>
      <c r="L45" s="1"/>
      <c r="M45" s="1"/>
      <c r="N45" s="1"/>
      <c r="O45" s="1"/>
      <c r="P45" s="1"/>
      <c r="Q45" s="1"/>
    </row>
    <row r="46" spans="8:17" x14ac:dyDescent="0.25">
      <c r="H46" s="1"/>
      <c r="I46" s="1"/>
      <c r="J46" s="1"/>
      <c r="K46" s="1"/>
      <c r="L46" s="1"/>
      <c r="M46" s="1"/>
      <c r="N46" s="1"/>
      <c r="O46" s="1"/>
      <c r="P46" s="1"/>
      <c r="Q46" s="1"/>
    </row>
    <row r="47" spans="8:17" x14ac:dyDescent="0.25">
      <c r="H47" s="1"/>
      <c r="I47" s="1"/>
      <c r="J47" s="1"/>
      <c r="K47" s="1"/>
      <c r="L47" s="1"/>
      <c r="M47" s="1"/>
      <c r="N47" s="1"/>
      <c r="O47" s="1"/>
      <c r="P47" s="1"/>
      <c r="Q47" s="1"/>
    </row>
    <row r="48" spans="8:17" x14ac:dyDescent="0.25">
      <c r="H48" s="1"/>
      <c r="I48" s="1"/>
      <c r="J48" s="1"/>
      <c r="K48" s="1"/>
      <c r="L48" s="1"/>
      <c r="M48" s="1"/>
      <c r="N48" s="1"/>
      <c r="O48" s="1"/>
      <c r="P48" s="1"/>
      <c r="Q48" s="1"/>
    </row>
    <row r="49" spans="8:17" x14ac:dyDescent="0.25">
      <c r="H49" s="1"/>
      <c r="I49" s="1"/>
      <c r="J49" s="1"/>
      <c r="K49" s="1"/>
      <c r="L49" s="1"/>
      <c r="M49" s="1"/>
      <c r="N49" s="1"/>
      <c r="O49" s="1"/>
      <c r="P49" s="1"/>
      <c r="Q49" s="1"/>
    </row>
    <row r="50" spans="8:17" x14ac:dyDescent="0.25">
      <c r="H50" s="1"/>
      <c r="I50" s="1"/>
      <c r="J50" s="1"/>
      <c r="K50" s="1"/>
      <c r="L50" s="1"/>
      <c r="M50" s="1"/>
      <c r="N50" s="1"/>
      <c r="O50" s="1"/>
      <c r="P50" s="1"/>
      <c r="Q50" s="1"/>
    </row>
    <row r="51" spans="8:17" x14ac:dyDescent="0.25">
      <c r="H51" s="1"/>
      <c r="I51" s="1"/>
      <c r="J51" s="1"/>
      <c r="K51" s="1"/>
      <c r="L51" s="1"/>
      <c r="M51" s="1"/>
      <c r="N51" s="1"/>
      <c r="O51" s="1"/>
      <c r="P51" s="1"/>
      <c r="Q51" s="1"/>
    </row>
    <row r="52" spans="8:17" x14ac:dyDescent="0.25">
      <c r="H52" s="1"/>
      <c r="I52" s="1"/>
      <c r="J52" s="1"/>
      <c r="K52" s="1"/>
      <c r="L52" s="1"/>
      <c r="M52" s="1"/>
      <c r="N52" s="1"/>
      <c r="O52" s="1"/>
      <c r="P52" s="1"/>
      <c r="Q52" s="1"/>
    </row>
    <row r="53" spans="8:17" x14ac:dyDescent="0.25">
      <c r="H53" s="1"/>
      <c r="I53" s="1"/>
      <c r="J53" s="1"/>
      <c r="K53" s="1"/>
      <c r="L53" s="1"/>
      <c r="M53" s="1"/>
      <c r="N53" s="1"/>
      <c r="O53" s="1"/>
      <c r="P53" s="1"/>
      <c r="Q53" s="1"/>
    </row>
    <row r="54" spans="8:17" x14ac:dyDescent="0.25">
      <c r="H54" s="1"/>
      <c r="I54" s="1"/>
      <c r="J54" s="1"/>
      <c r="K54" s="1"/>
      <c r="L54" s="1"/>
      <c r="M54" s="1"/>
      <c r="N54" s="1"/>
      <c r="O54" s="1"/>
      <c r="P54" s="1"/>
      <c r="Q54" s="1"/>
    </row>
    <row r="55" spans="8:17" x14ac:dyDescent="0.25">
      <c r="H55" s="1"/>
      <c r="I55" s="1"/>
      <c r="J55" s="1"/>
      <c r="K55" s="1"/>
      <c r="L55" s="1"/>
      <c r="M55" s="1"/>
      <c r="N55" s="1"/>
      <c r="O55" s="1"/>
      <c r="P55" s="1"/>
      <c r="Q55" s="1"/>
    </row>
    <row r="56" spans="8:17" x14ac:dyDescent="0.25">
      <c r="H56" s="1"/>
      <c r="I56" s="1"/>
      <c r="J56" s="1"/>
      <c r="K56" s="1"/>
      <c r="L56" s="1"/>
      <c r="M56" s="1"/>
      <c r="N56" s="1"/>
      <c r="O56" s="1"/>
      <c r="P56" s="1"/>
      <c r="Q56" s="1"/>
    </row>
    <row r="57" spans="8:17" x14ac:dyDescent="0.25">
      <c r="H57" s="1"/>
      <c r="I57" s="1"/>
      <c r="J57" s="1"/>
      <c r="K57" s="1"/>
      <c r="L57" s="1"/>
      <c r="M57" s="1"/>
      <c r="N57" s="1"/>
      <c r="O57" s="1"/>
      <c r="P57" s="1"/>
      <c r="Q57" s="1"/>
    </row>
    <row r="58" spans="8:17" x14ac:dyDescent="0.25">
      <c r="H58" s="1"/>
      <c r="I58" s="1"/>
      <c r="J58" s="1"/>
      <c r="K58" s="1"/>
      <c r="L58" s="1"/>
      <c r="M58" s="1"/>
      <c r="N58" s="1"/>
      <c r="O58" s="1"/>
      <c r="P58" s="1"/>
      <c r="Q58" s="1"/>
    </row>
    <row r="59" spans="8:17" x14ac:dyDescent="0.25">
      <c r="H59" s="1"/>
      <c r="I59" s="1"/>
      <c r="J59" s="1"/>
      <c r="K59" s="1"/>
      <c r="L59" s="1"/>
      <c r="M59" s="1"/>
      <c r="N59" s="1"/>
      <c r="O59" s="1"/>
      <c r="P59" s="1"/>
      <c r="Q59" s="1"/>
    </row>
    <row r="60" spans="8:17" x14ac:dyDescent="0.25">
      <c r="H60" s="1"/>
      <c r="I60" s="1"/>
      <c r="J60" s="1"/>
      <c r="K60" s="1"/>
      <c r="L60" s="1"/>
      <c r="M60" s="1"/>
      <c r="N60" s="1"/>
      <c r="O60" s="1"/>
      <c r="P60" s="1"/>
      <c r="Q60" s="1"/>
    </row>
    <row r="61" spans="8:17" x14ac:dyDescent="0.25">
      <c r="H61" s="1"/>
      <c r="I61" s="1"/>
      <c r="J61" s="1"/>
      <c r="K61" s="1"/>
      <c r="L61" s="1"/>
      <c r="M61" s="1"/>
      <c r="N61" s="1"/>
      <c r="O61" s="1"/>
      <c r="P61" s="1"/>
      <c r="Q61" s="1"/>
    </row>
    <row r="62" spans="8:17" x14ac:dyDescent="0.25">
      <c r="H62" s="1"/>
      <c r="I62" s="1"/>
      <c r="J62" s="1"/>
      <c r="K62" s="1"/>
      <c r="L62" s="1"/>
      <c r="M62" s="1"/>
      <c r="N62" s="1"/>
      <c r="O62" s="1"/>
      <c r="P62" s="1"/>
      <c r="Q62" s="1"/>
    </row>
    <row r="63" spans="8:17" x14ac:dyDescent="0.25">
      <c r="H63" s="1"/>
      <c r="I63" s="1"/>
      <c r="J63" s="1"/>
      <c r="K63" s="1"/>
      <c r="L63" s="1"/>
      <c r="M63" s="1"/>
      <c r="N63" s="1"/>
      <c r="O63" s="1"/>
      <c r="P63" s="1"/>
      <c r="Q63" s="1"/>
    </row>
    <row r="64" spans="8:17" x14ac:dyDescent="0.25">
      <c r="H64" s="1"/>
      <c r="I64" s="1"/>
      <c r="J64" s="1"/>
      <c r="K64" s="1"/>
      <c r="L64" s="1"/>
      <c r="M64" s="1"/>
      <c r="N64" s="1"/>
      <c r="O64" s="1"/>
      <c r="P64" s="1"/>
      <c r="Q64" s="1"/>
    </row>
    <row r="65" spans="8:17" x14ac:dyDescent="0.25">
      <c r="H65" s="1"/>
      <c r="I65" s="1"/>
      <c r="J65" s="1"/>
      <c r="K65" s="1"/>
      <c r="L65" s="1"/>
      <c r="M65" s="1"/>
      <c r="N65" s="1"/>
      <c r="O65" s="1"/>
      <c r="P65" s="1"/>
      <c r="Q65" s="1"/>
    </row>
    <row r="66" spans="8:17" x14ac:dyDescent="0.25">
      <c r="H66" s="1"/>
      <c r="I66" s="1"/>
      <c r="J66" s="1"/>
      <c r="K66" s="1"/>
      <c r="L66" s="1"/>
      <c r="M66" s="1"/>
      <c r="N66" s="1"/>
      <c r="O66" s="1"/>
      <c r="P66" s="1"/>
      <c r="Q66" s="1"/>
    </row>
    <row r="67" spans="8:17" x14ac:dyDescent="0.25">
      <c r="H67" s="1"/>
      <c r="I67" s="1"/>
      <c r="J67" s="1"/>
      <c r="K67" s="1"/>
      <c r="L67" s="1"/>
      <c r="M67" s="1"/>
      <c r="N67" s="1"/>
      <c r="O67" s="1"/>
      <c r="P67" s="1"/>
      <c r="Q67" s="1"/>
    </row>
    <row r="68" spans="8:17" x14ac:dyDescent="0.25">
      <c r="H68" s="1"/>
      <c r="I68" s="1"/>
      <c r="J68" s="1"/>
      <c r="K68" s="1"/>
      <c r="L68" s="1"/>
      <c r="M68" s="1"/>
      <c r="N68" s="1"/>
      <c r="O68" s="1"/>
      <c r="P68" s="1"/>
      <c r="Q68" s="1"/>
    </row>
    <row r="69" spans="8:17" x14ac:dyDescent="0.25">
      <c r="H69" s="1"/>
      <c r="I69" s="1"/>
      <c r="J69" s="1"/>
      <c r="K69" s="1"/>
      <c r="L69" s="1"/>
      <c r="M69" s="1"/>
      <c r="N69" s="1"/>
      <c r="O69" s="1"/>
      <c r="P69" s="1"/>
      <c r="Q69" s="1"/>
    </row>
    <row r="70" spans="8:17" x14ac:dyDescent="0.25">
      <c r="H70" s="1"/>
      <c r="I70" s="1"/>
      <c r="J70" s="1"/>
      <c r="K70" s="1"/>
      <c r="L70" s="1"/>
      <c r="M70" s="1"/>
      <c r="N70" s="1"/>
      <c r="O70" s="1"/>
      <c r="P70" s="1"/>
      <c r="Q70" s="1"/>
    </row>
    <row r="71" spans="8:17" x14ac:dyDescent="0.25">
      <c r="H71" s="1"/>
      <c r="I71" s="1"/>
      <c r="J71" s="1"/>
      <c r="K71" s="1"/>
      <c r="L71" s="1"/>
      <c r="M71" s="1"/>
      <c r="N71" s="1"/>
      <c r="O71" s="1"/>
      <c r="P71" s="1"/>
      <c r="Q71" s="1"/>
    </row>
    <row r="72" spans="8:17" x14ac:dyDescent="0.25">
      <c r="H72" s="1"/>
      <c r="I72" s="1"/>
      <c r="J72" s="1"/>
      <c r="K72" s="1"/>
      <c r="L72" s="1"/>
      <c r="M72" s="1"/>
      <c r="N72" s="1"/>
      <c r="O72" s="1"/>
      <c r="P72" s="1"/>
      <c r="Q72" s="1"/>
    </row>
    <row r="73" spans="8:17" x14ac:dyDescent="0.25">
      <c r="H73" s="1"/>
      <c r="I73" s="1"/>
      <c r="J73" s="1"/>
      <c r="K73" s="1"/>
      <c r="L73" s="1"/>
      <c r="M73" s="1"/>
      <c r="N73" s="1"/>
      <c r="O73" s="1"/>
      <c r="P73" s="1"/>
      <c r="Q73" s="1"/>
    </row>
    <row r="74" spans="8:17" x14ac:dyDescent="0.25">
      <c r="H74" s="1"/>
      <c r="I74" s="1"/>
      <c r="J74" s="1"/>
      <c r="K74" s="1"/>
      <c r="L74" s="1"/>
      <c r="M74" s="1"/>
      <c r="N74" s="1"/>
      <c r="O74" s="1"/>
      <c r="P74" s="1"/>
      <c r="Q74" s="1"/>
    </row>
    <row r="75" spans="8:17" x14ac:dyDescent="0.25">
      <c r="H75" s="1"/>
      <c r="I75" s="1"/>
      <c r="J75" s="1"/>
      <c r="K75" s="1"/>
      <c r="L75" s="1"/>
      <c r="M75" s="1"/>
      <c r="N75" s="1"/>
      <c r="O75" s="1"/>
      <c r="P75" s="1"/>
      <c r="Q75" s="1"/>
    </row>
    <row r="76" spans="8:17" x14ac:dyDescent="0.25">
      <c r="H76" s="1"/>
      <c r="I76" s="1"/>
      <c r="J76" s="1"/>
      <c r="K76" s="1"/>
      <c r="L76" s="1"/>
      <c r="M76" s="1"/>
      <c r="N76" s="1"/>
      <c r="O76" s="1"/>
      <c r="P76" s="1"/>
      <c r="Q76" s="1"/>
    </row>
    <row r="77" spans="8:17" x14ac:dyDescent="0.25">
      <c r="H77" s="1"/>
      <c r="I77" s="1"/>
      <c r="J77" s="1"/>
      <c r="K77" s="1"/>
      <c r="L77" s="1"/>
      <c r="M77" s="1"/>
      <c r="N77" s="1"/>
      <c r="O77" s="1"/>
      <c r="P77" s="1"/>
      <c r="Q77" s="1"/>
    </row>
    <row r="78" spans="8:17" x14ac:dyDescent="0.25">
      <c r="H78" s="1"/>
      <c r="I78" s="1"/>
      <c r="J78" s="1"/>
      <c r="K78" s="1"/>
      <c r="L78" s="1"/>
      <c r="M78" s="1"/>
      <c r="N78" s="1"/>
      <c r="O78" s="1"/>
      <c r="P78" s="1"/>
      <c r="Q78" s="1"/>
    </row>
    <row r="79" spans="8:17" x14ac:dyDescent="0.25">
      <c r="H79" s="1"/>
      <c r="I79" s="1"/>
      <c r="J79" s="1"/>
      <c r="K79" s="1"/>
      <c r="L79" s="1"/>
      <c r="M79" s="1"/>
      <c r="N79" s="1"/>
      <c r="O79" s="1"/>
      <c r="P79" s="1"/>
      <c r="Q79" s="1"/>
    </row>
    <row r="80" spans="8:17" x14ac:dyDescent="0.25">
      <c r="H80" s="1"/>
      <c r="I80" s="1"/>
      <c r="J80" s="1"/>
      <c r="K80" s="1"/>
      <c r="L80" s="1"/>
      <c r="M80" s="1"/>
      <c r="N80" s="1"/>
      <c r="O80" s="1"/>
      <c r="P80" s="1"/>
      <c r="Q80" s="1"/>
    </row>
    <row r="81" spans="8:17" x14ac:dyDescent="0.25">
      <c r="H81" s="1"/>
      <c r="I81" s="1"/>
      <c r="J81" s="1"/>
      <c r="K81" s="1"/>
      <c r="L81" s="1"/>
      <c r="M81" s="1"/>
      <c r="N81" s="1"/>
      <c r="O81" s="1"/>
      <c r="P81" s="1"/>
      <c r="Q81" s="1"/>
    </row>
    <row r="82" spans="8:17" x14ac:dyDescent="0.25">
      <c r="H82" s="1"/>
      <c r="I82" s="1"/>
      <c r="J82" s="1"/>
      <c r="K82" s="1"/>
      <c r="L82" s="1"/>
      <c r="M82" s="1"/>
      <c r="N82" s="1"/>
      <c r="O82" s="1"/>
      <c r="P82" s="1"/>
      <c r="Q82" s="1"/>
    </row>
    <row r="83" spans="8:17" x14ac:dyDescent="0.25">
      <c r="H83" s="1"/>
      <c r="I83" s="1"/>
      <c r="J83" s="1"/>
      <c r="K83" s="1"/>
      <c r="L83" s="1"/>
      <c r="M83" s="1"/>
      <c r="N83" s="1"/>
      <c r="O83" s="1"/>
      <c r="P83" s="1"/>
      <c r="Q83" s="1"/>
    </row>
    <row r="84" spans="8:17" x14ac:dyDescent="0.25">
      <c r="H84" s="1"/>
      <c r="I84" s="1"/>
      <c r="J84" s="1"/>
      <c r="K84" s="1"/>
      <c r="L84" s="1"/>
      <c r="M84" s="1"/>
      <c r="N84" s="1"/>
      <c r="O84" s="1"/>
      <c r="P84" s="1"/>
      <c r="Q84" s="1"/>
    </row>
    <row r="85" spans="8:17" x14ac:dyDescent="0.25">
      <c r="H85" s="1"/>
      <c r="I85" s="1"/>
      <c r="J85" s="1"/>
      <c r="K85" s="1"/>
      <c r="L85" s="1"/>
      <c r="M85" s="1"/>
      <c r="N85" s="1"/>
      <c r="O85" s="1"/>
      <c r="P85" s="1"/>
      <c r="Q85" s="1"/>
    </row>
    <row r="86" spans="8:17" x14ac:dyDescent="0.25">
      <c r="H86" s="1"/>
      <c r="I86" s="1"/>
      <c r="J86" s="1"/>
      <c r="K86" s="1"/>
      <c r="L86" s="1"/>
      <c r="M86" s="1"/>
      <c r="N86" s="1"/>
      <c r="O86" s="1"/>
      <c r="P86" s="1"/>
      <c r="Q86" s="1"/>
    </row>
    <row r="87" spans="8:17" x14ac:dyDescent="0.25">
      <c r="H87" s="1"/>
      <c r="I87" s="1"/>
      <c r="J87" s="1"/>
      <c r="K87" s="1"/>
      <c r="L87" s="1"/>
      <c r="M87" s="1"/>
      <c r="N87" s="1"/>
      <c r="O87" s="1"/>
      <c r="P87" s="1"/>
      <c r="Q87" s="1"/>
    </row>
    <row r="88" spans="8:17" x14ac:dyDescent="0.25">
      <c r="H88" s="1"/>
      <c r="I88" s="1"/>
      <c r="J88" s="1"/>
      <c r="K88" s="1"/>
      <c r="L88" s="1"/>
      <c r="M88" s="1"/>
      <c r="N88" s="1"/>
      <c r="O88" s="1"/>
      <c r="P88" s="1"/>
      <c r="Q88" s="1"/>
    </row>
    <row r="89" spans="8:17" x14ac:dyDescent="0.25">
      <c r="H89" s="1"/>
      <c r="I89" s="1"/>
      <c r="J89" s="1"/>
      <c r="K89" s="1"/>
      <c r="L89" s="1"/>
      <c r="M89" s="1"/>
      <c r="N89" s="1"/>
      <c r="O89" s="1"/>
      <c r="P89" s="1"/>
      <c r="Q89" s="1"/>
    </row>
    <row r="90" spans="8:17" x14ac:dyDescent="0.25">
      <c r="H90" s="1"/>
      <c r="I90" s="1"/>
      <c r="J90" s="1"/>
      <c r="K90" s="1"/>
      <c r="L90" s="1"/>
      <c r="M90" s="1"/>
      <c r="N90" s="1"/>
      <c r="O90" s="1"/>
      <c r="P90" s="1"/>
      <c r="Q90" s="1"/>
    </row>
    <row r="91" spans="8:17" x14ac:dyDescent="0.25">
      <c r="H91" s="1"/>
      <c r="I91" s="1"/>
      <c r="J91" s="1"/>
      <c r="K91" s="1"/>
      <c r="L91" s="1"/>
      <c r="M91" s="1"/>
      <c r="N91" s="1"/>
      <c r="O91" s="1"/>
      <c r="P91" s="1"/>
      <c r="Q91" s="1"/>
    </row>
    <row r="92" spans="8:17" x14ac:dyDescent="0.25">
      <c r="H92" s="1"/>
      <c r="I92" s="1"/>
      <c r="J92" s="1"/>
      <c r="K92" s="1"/>
      <c r="L92" s="1"/>
      <c r="M92" s="1"/>
      <c r="N92" s="1"/>
      <c r="O92" s="1"/>
      <c r="P92" s="1"/>
      <c r="Q92" s="1"/>
    </row>
    <row r="93" spans="8:17" x14ac:dyDescent="0.25">
      <c r="H93" s="1"/>
      <c r="I93" s="1"/>
      <c r="J93" s="1"/>
      <c r="K93" s="1"/>
      <c r="L93" s="1"/>
      <c r="M93" s="1"/>
      <c r="N93" s="1"/>
      <c r="O93" s="1"/>
      <c r="P93" s="1"/>
      <c r="Q93" s="1"/>
    </row>
    <row r="94" spans="8:17" x14ac:dyDescent="0.25">
      <c r="H94" s="1"/>
      <c r="I94" s="1"/>
      <c r="J94" s="1"/>
      <c r="K94" s="1"/>
      <c r="L94" s="1"/>
      <c r="M94" s="1"/>
      <c r="N94" s="1"/>
      <c r="O94" s="1"/>
      <c r="P94" s="1"/>
      <c r="Q94" s="1"/>
    </row>
    <row r="95" spans="8:17" x14ac:dyDescent="0.25">
      <c r="H95" s="1"/>
      <c r="I95" s="1"/>
      <c r="J95" s="1"/>
      <c r="K95" s="1"/>
      <c r="L95" s="1"/>
      <c r="M95" s="1"/>
      <c r="N95" s="1"/>
      <c r="O95" s="1"/>
      <c r="P95" s="1"/>
      <c r="Q95" s="1"/>
    </row>
    <row r="96" spans="8:17" x14ac:dyDescent="0.25">
      <c r="H96" s="1"/>
      <c r="I96" s="1"/>
      <c r="J96" s="1"/>
      <c r="K96" s="1"/>
      <c r="L96" s="1"/>
      <c r="M96" s="1"/>
      <c r="N96" s="1"/>
      <c r="O96" s="1"/>
      <c r="P96" s="1"/>
      <c r="Q96" s="1"/>
    </row>
    <row r="97" spans="8:17" x14ac:dyDescent="0.25">
      <c r="H97" s="1"/>
      <c r="I97" s="1"/>
      <c r="J97" s="1"/>
      <c r="K97" s="1"/>
      <c r="L97" s="1"/>
      <c r="M97" s="1"/>
      <c r="N97" s="1"/>
      <c r="O97" s="1"/>
      <c r="P97" s="1"/>
      <c r="Q97" s="1"/>
    </row>
    <row r="98" spans="8:17" x14ac:dyDescent="0.25">
      <c r="H98" s="1"/>
      <c r="I98" s="1"/>
      <c r="J98" s="1"/>
      <c r="K98" s="1"/>
      <c r="L98" s="1"/>
      <c r="M98" s="1"/>
      <c r="N98" s="1"/>
      <c r="O98" s="1"/>
      <c r="P98" s="1"/>
      <c r="Q98" s="1"/>
    </row>
    <row r="99" spans="8:17" x14ac:dyDescent="0.25">
      <c r="H99" s="1"/>
      <c r="I99" s="1"/>
      <c r="J99" s="1"/>
      <c r="K99" s="1"/>
      <c r="L99" s="1"/>
      <c r="M99" s="1"/>
      <c r="N99" s="1"/>
      <c r="O99" s="1"/>
      <c r="P99" s="1"/>
      <c r="Q99" s="1"/>
    </row>
    <row r="100" spans="8:17" x14ac:dyDescent="0.25">
      <c r="H100" s="1"/>
      <c r="I100" s="1"/>
      <c r="J100" s="1"/>
      <c r="K100" s="1"/>
      <c r="L100" s="1"/>
      <c r="M100" s="1"/>
      <c r="N100" s="1"/>
      <c r="O100" s="1"/>
      <c r="P100" s="1"/>
      <c r="Q100" s="1"/>
    </row>
  </sheetData>
  <conditionalFormatting sqref="A2:R2">
    <cfRule type="expression" dxfId="8" priority="1" stopIfTrue="1">
      <formula>A2=""</formula>
    </cfRule>
    <cfRule type="expression" dxfId="7" priority="2" stopIfTrue="1">
      <formula>$R2="True"</formula>
    </cfRule>
    <cfRule type="expression" dxfId="6" priority="3" stopIfTrue="1">
      <formula>$R2="False"</formula>
    </cfRule>
  </conditionalFormatting>
  <hyperlinks>
    <hyperlink ref="B2" r:id="rId1" xr:uid="{00000000-0004-0000-0200-000000000000}"/>
  </hyperlink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T100"/>
  <sheetViews>
    <sheetView workbookViewId="0">
      <selection activeCell="R3" sqref="R3"/>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389</v>
      </c>
      <c r="B2" s="3" t="s">
        <v>390</v>
      </c>
      <c r="C2" s="2" t="s">
        <v>391</v>
      </c>
      <c r="D2" s="2" t="s">
        <v>21</v>
      </c>
      <c r="E2" s="2">
        <v>2</v>
      </c>
      <c r="F2" s="2" t="s">
        <v>392</v>
      </c>
      <c r="G2" s="2" t="s">
        <v>23</v>
      </c>
      <c r="H2" s="4" t="s">
        <v>393</v>
      </c>
      <c r="I2" s="4" t="s">
        <v>394</v>
      </c>
      <c r="J2" s="4" t="s">
        <v>395</v>
      </c>
      <c r="K2" s="4"/>
      <c r="L2" s="4"/>
      <c r="M2" s="4"/>
      <c r="N2" s="4"/>
      <c r="O2" s="4" t="s">
        <v>396</v>
      </c>
      <c r="P2" s="4"/>
      <c r="Q2" s="4"/>
      <c r="R2" s="2" t="s">
        <v>33</v>
      </c>
      <c r="S2" s="6" t="str">
        <f>HYPERLINK(B2,"link")</f>
        <v>link</v>
      </c>
      <c r="T2" s="6" t="str">
        <f>HYPERLINK(C2,"pdf")</f>
        <v>pdf</v>
      </c>
    </row>
    <row r="3" spans="1:20" x14ac:dyDescent="0.25">
      <c r="H3" s="1"/>
      <c r="I3" s="1"/>
      <c r="J3" s="1"/>
      <c r="K3" s="1"/>
      <c r="L3" s="1"/>
      <c r="M3" s="1"/>
      <c r="N3" s="1"/>
      <c r="O3" s="1"/>
      <c r="P3" s="1"/>
      <c r="Q3" s="1"/>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row r="15" spans="1:20" x14ac:dyDescent="0.25">
      <c r="H15" s="1"/>
      <c r="I15" s="1"/>
      <c r="J15" s="1"/>
      <c r="K15" s="1"/>
      <c r="L15" s="1"/>
      <c r="M15" s="1"/>
      <c r="N15" s="1"/>
      <c r="O15" s="1"/>
      <c r="P15" s="1"/>
      <c r="Q15" s="1"/>
    </row>
    <row r="16" spans="1:20" x14ac:dyDescent="0.25">
      <c r="H16" s="1"/>
      <c r="I16" s="1"/>
      <c r="J16" s="1"/>
      <c r="K16" s="1"/>
      <c r="L16" s="1"/>
      <c r="M16" s="1"/>
      <c r="N16" s="1"/>
      <c r="O16" s="1"/>
      <c r="P16" s="1"/>
      <c r="Q16" s="1"/>
    </row>
    <row r="17" spans="8:17" x14ac:dyDescent="0.25">
      <c r="H17" s="1"/>
      <c r="I17" s="1"/>
      <c r="J17" s="1"/>
      <c r="K17" s="1"/>
      <c r="L17" s="1"/>
      <c r="M17" s="1"/>
      <c r="N17" s="1"/>
      <c r="O17" s="1"/>
      <c r="P17" s="1"/>
      <c r="Q17" s="1"/>
    </row>
    <row r="18" spans="8:17" x14ac:dyDescent="0.25">
      <c r="H18" s="1"/>
      <c r="I18" s="1"/>
      <c r="J18" s="1"/>
      <c r="K18" s="1"/>
      <c r="L18" s="1"/>
      <c r="M18" s="1"/>
      <c r="N18" s="1"/>
      <c r="O18" s="1"/>
      <c r="P18" s="1"/>
      <c r="Q18" s="1"/>
    </row>
    <row r="19" spans="8:17" x14ac:dyDescent="0.25">
      <c r="H19" s="1"/>
      <c r="I19" s="1"/>
      <c r="J19" s="1"/>
      <c r="K19" s="1"/>
      <c r="L19" s="1"/>
      <c r="M19" s="1"/>
      <c r="N19" s="1"/>
      <c r="O19" s="1"/>
      <c r="P19" s="1"/>
      <c r="Q19" s="1"/>
    </row>
    <row r="20" spans="8:17" x14ac:dyDescent="0.25">
      <c r="H20" s="1"/>
      <c r="I20" s="1"/>
      <c r="J20" s="1"/>
      <c r="K20" s="1"/>
      <c r="L20" s="1"/>
      <c r="M20" s="1"/>
      <c r="N20" s="1"/>
      <c r="O20" s="1"/>
      <c r="P20" s="1"/>
      <c r="Q20" s="1"/>
    </row>
    <row r="21" spans="8:17" x14ac:dyDescent="0.25">
      <c r="H21" s="1"/>
      <c r="I21" s="1"/>
      <c r="J21" s="1"/>
      <c r="K21" s="1"/>
      <c r="L21" s="1"/>
      <c r="M21" s="1"/>
      <c r="N21" s="1"/>
      <c r="O21" s="1"/>
      <c r="P21" s="1"/>
      <c r="Q21" s="1"/>
    </row>
    <row r="22" spans="8:17" x14ac:dyDescent="0.25">
      <c r="H22" s="1"/>
      <c r="I22" s="1"/>
      <c r="J22" s="1"/>
      <c r="K22" s="1"/>
      <c r="L22" s="1"/>
      <c r="M22" s="1"/>
      <c r="N22" s="1"/>
      <c r="O22" s="1"/>
      <c r="P22" s="1"/>
      <c r="Q22" s="1"/>
    </row>
    <row r="23" spans="8:17" x14ac:dyDescent="0.25">
      <c r="H23" s="1"/>
      <c r="I23" s="1"/>
      <c r="J23" s="1"/>
      <c r="K23" s="1"/>
      <c r="L23" s="1"/>
      <c r="M23" s="1"/>
      <c r="N23" s="1"/>
      <c r="O23" s="1"/>
      <c r="P23" s="1"/>
      <c r="Q23" s="1"/>
    </row>
    <row r="24" spans="8:17" x14ac:dyDescent="0.25">
      <c r="H24" s="1"/>
      <c r="I24" s="1"/>
      <c r="J24" s="1"/>
      <c r="K24" s="1"/>
      <c r="L24" s="1"/>
      <c r="M24" s="1"/>
      <c r="N24" s="1"/>
      <c r="O24" s="1"/>
      <c r="P24" s="1"/>
      <c r="Q24" s="1"/>
    </row>
    <row r="25" spans="8:17" x14ac:dyDescent="0.25">
      <c r="H25" s="1"/>
      <c r="I25" s="1"/>
      <c r="J25" s="1"/>
      <c r="K25" s="1"/>
      <c r="L25" s="1"/>
      <c r="M25" s="1"/>
      <c r="N25" s="1"/>
      <c r="O25" s="1"/>
      <c r="P25" s="1"/>
      <c r="Q25" s="1"/>
    </row>
    <row r="26" spans="8:17" x14ac:dyDescent="0.25">
      <c r="H26" s="1"/>
      <c r="I26" s="1"/>
      <c r="J26" s="1"/>
      <c r="K26" s="1"/>
      <c r="L26" s="1"/>
      <c r="M26" s="1"/>
      <c r="N26" s="1"/>
      <c r="O26" s="1"/>
      <c r="P26" s="1"/>
      <c r="Q26" s="1"/>
    </row>
    <row r="27" spans="8:17" x14ac:dyDescent="0.25">
      <c r="H27" s="1"/>
      <c r="I27" s="1"/>
      <c r="J27" s="1"/>
      <c r="K27" s="1"/>
      <c r="L27" s="1"/>
      <c r="M27" s="1"/>
      <c r="N27" s="1"/>
      <c r="O27" s="1"/>
      <c r="P27" s="1"/>
      <c r="Q27" s="1"/>
    </row>
    <row r="28" spans="8:17" x14ac:dyDescent="0.25">
      <c r="H28" s="1"/>
      <c r="I28" s="1"/>
      <c r="J28" s="1"/>
      <c r="K28" s="1"/>
      <c r="L28" s="1"/>
      <c r="M28" s="1"/>
      <c r="N28" s="1"/>
      <c r="O28" s="1"/>
      <c r="P28" s="1"/>
      <c r="Q28" s="1"/>
    </row>
    <row r="29" spans="8:17" x14ac:dyDescent="0.25">
      <c r="H29" s="1"/>
      <c r="I29" s="1"/>
      <c r="J29" s="1"/>
      <c r="K29" s="1"/>
      <c r="L29" s="1"/>
      <c r="M29" s="1"/>
      <c r="N29" s="1"/>
      <c r="O29" s="1"/>
      <c r="P29" s="1"/>
      <c r="Q29" s="1"/>
    </row>
    <row r="30" spans="8:17" x14ac:dyDescent="0.25">
      <c r="H30" s="1"/>
      <c r="I30" s="1"/>
      <c r="J30" s="1"/>
      <c r="K30" s="1"/>
      <c r="L30" s="1"/>
      <c r="M30" s="1"/>
      <c r="N30" s="1"/>
      <c r="O30" s="1"/>
      <c r="P30" s="1"/>
      <c r="Q30" s="1"/>
    </row>
    <row r="31" spans="8:17" x14ac:dyDescent="0.25">
      <c r="H31" s="1"/>
      <c r="I31" s="1"/>
      <c r="J31" s="1"/>
      <c r="K31" s="1"/>
      <c r="L31" s="1"/>
      <c r="M31" s="1"/>
      <c r="N31" s="1"/>
      <c r="O31" s="1"/>
      <c r="P31" s="1"/>
      <c r="Q31" s="1"/>
    </row>
    <row r="32" spans="8:17"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row r="41" spans="8:17" x14ac:dyDescent="0.25">
      <c r="H41" s="1"/>
      <c r="I41" s="1"/>
      <c r="J41" s="1"/>
      <c r="K41" s="1"/>
      <c r="L41" s="1"/>
      <c r="M41" s="1"/>
      <c r="N41" s="1"/>
      <c r="O41" s="1"/>
      <c r="P41" s="1"/>
      <c r="Q41" s="1"/>
    </row>
    <row r="42" spans="8:17" x14ac:dyDescent="0.25">
      <c r="H42" s="1"/>
      <c r="I42" s="1"/>
      <c r="J42" s="1"/>
      <c r="K42" s="1"/>
      <c r="L42" s="1"/>
      <c r="M42" s="1"/>
      <c r="N42" s="1"/>
      <c r="O42" s="1"/>
      <c r="P42" s="1"/>
      <c r="Q42" s="1"/>
    </row>
    <row r="43" spans="8:17" x14ac:dyDescent="0.25">
      <c r="H43" s="1"/>
      <c r="I43" s="1"/>
      <c r="J43" s="1"/>
      <c r="K43" s="1"/>
      <c r="L43" s="1"/>
      <c r="M43" s="1"/>
      <c r="N43" s="1"/>
      <c r="O43" s="1"/>
      <c r="P43" s="1"/>
      <c r="Q43" s="1"/>
    </row>
    <row r="44" spans="8:17" x14ac:dyDescent="0.25">
      <c r="H44" s="1"/>
      <c r="I44" s="1"/>
      <c r="J44" s="1"/>
      <c r="K44" s="1"/>
      <c r="L44" s="1"/>
      <c r="M44" s="1"/>
      <c r="N44" s="1"/>
      <c r="O44" s="1"/>
      <c r="P44" s="1"/>
      <c r="Q44" s="1"/>
    </row>
    <row r="45" spans="8:17" x14ac:dyDescent="0.25">
      <c r="H45" s="1"/>
      <c r="I45" s="1"/>
      <c r="J45" s="1"/>
      <c r="K45" s="1"/>
      <c r="L45" s="1"/>
      <c r="M45" s="1"/>
      <c r="N45" s="1"/>
      <c r="O45" s="1"/>
      <c r="P45" s="1"/>
      <c r="Q45" s="1"/>
    </row>
    <row r="46" spans="8:17" x14ac:dyDescent="0.25">
      <c r="H46" s="1"/>
      <c r="I46" s="1"/>
      <c r="J46" s="1"/>
      <c r="K46" s="1"/>
      <c r="L46" s="1"/>
      <c r="M46" s="1"/>
      <c r="N46" s="1"/>
      <c r="O46" s="1"/>
      <c r="P46" s="1"/>
      <c r="Q46" s="1"/>
    </row>
    <row r="47" spans="8:17" x14ac:dyDescent="0.25">
      <c r="H47" s="1"/>
      <c r="I47" s="1"/>
      <c r="J47" s="1"/>
      <c r="K47" s="1"/>
      <c r="L47" s="1"/>
      <c r="M47" s="1"/>
      <c r="N47" s="1"/>
      <c r="O47" s="1"/>
      <c r="P47" s="1"/>
      <c r="Q47" s="1"/>
    </row>
    <row r="48" spans="8:17" x14ac:dyDescent="0.25">
      <c r="H48" s="1"/>
      <c r="I48" s="1"/>
      <c r="J48" s="1"/>
      <c r="K48" s="1"/>
      <c r="L48" s="1"/>
      <c r="M48" s="1"/>
      <c r="N48" s="1"/>
      <c r="O48" s="1"/>
      <c r="P48" s="1"/>
      <c r="Q48" s="1"/>
    </row>
    <row r="49" spans="8:17" x14ac:dyDescent="0.25">
      <c r="H49" s="1"/>
      <c r="I49" s="1"/>
      <c r="J49" s="1"/>
      <c r="K49" s="1"/>
      <c r="L49" s="1"/>
      <c r="M49" s="1"/>
      <c r="N49" s="1"/>
      <c r="O49" s="1"/>
      <c r="P49" s="1"/>
      <c r="Q49" s="1"/>
    </row>
    <row r="50" spans="8:17" x14ac:dyDescent="0.25">
      <c r="H50" s="1"/>
      <c r="I50" s="1"/>
      <c r="J50" s="1"/>
      <c r="K50" s="1"/>
      <c r="L50" s="1"/>
      <c r="M50" s="1"/>
      <c r="N50" s="1"/>
      <c r="O50" s="1"/>
      <c r="P50" s="1"/>
      <c r="Q50" s="1"/>
    </row>
    <row r="51" spans="8:17" x14ac:dyDescent="0.25">
      <c r="H51" s="1"/>
      <c r="I51" s="1"/>
      <c r="J51" s="1"/>
      <c r="K51" s="1"/>
      <c r="L51" s="1"/>
      <c r="M51" s="1"/>
      <c r="N51" s="1"/>
      <c r="O51" s="1"/>
      <c r="P51" s="1"/>
      <c r="Q51" s="1"/>
    </row>
    <row r="52" spans="8:17" x14ac:dyDescent="0.25">
      <c r="H52" s="1"/>
      <c r="I52" s="1"/>
      <c r="J52" s="1"/>
      <c r="K52" s="1"/>
      <c r="L52" s="1"/>
      <c r="M52" s="1"/>
      <c r="N52" s="1"/>
      <c r="O52" s="1"/>
      <c r="P52" s="1"/>
      <c r="Q52" s="1"/>
    </row>
    <row r="53" spans="8:17" x14ac:dyDescent="0.25">
      <c r="H53" s="1"/>
      <c r="I53" s="1"/>
      <c r="J53" s="1"/>
      <c r="K53" s="1"/>
      <c r="L53" s="1"/>
      <c r="M53" s="1"/>
      <c r="N53" s="1"/>
      <c r="O53" s="1"/>
      <c r="P53" s="1"/>
      <c r="Q53" s="1"/>
    </row>
    <row r="54" spans="8:17" x14ac:dyDescent="0.25">
      <c r="H54" s="1"/>
      <c r="I54" s="1"/>
      <c r="J54" s="1"/>
      <c r="K54" s="1"/>
      <c r="L54" s="1"/>
      <c r="M54" s="1"/>
      <c r="N54" s="1"/>
      <c r="O54" s="1"/>
      <c r="P54" s="1"/>
      <c r="Q54" s="1"/>
    </row>
    <row r="55" spans="8:17" x14ac:dyDescent="0.25">
      <c r="H55" s="1"/>
      <c r="I55" s="1"/>
      <c r="J55" s="1"/>
      <c r="K55" s="1"/>
      <c r="L55" s="1"/>
      <c r="M55" s="1"/>
      <c r="N55" s="1"/>
      <c r="O55" s="1"/>
      <c r="P55" s="1"/>
      <c r="Q55" s="1"/>
    </row>
    <row r="56" spans="8:17" x14ac:dyDescent="0.25">
      <c r="H56" s="1"/>
      <c r="I56" s="1"/>
      <c r="J56" s="1"/>
      <c r="K56" s="1"/>
      <c r="L56" s="1"/>
      <c r="M56" s="1"/>
      <c r="N56" s="1"/>
      <c r="O56" s="1"/>
      <c r="P56" s="1"/>
      <c r="Q56" s="1"/>
    </row>
    <row r="57" spans="8:17" x14ac:dyDescent="0.25">
      <c r="H57" s="1"/>
      <c r="I57" s="1"/>
      <c r="J57" s="1"/>
      <c r="K57" s="1"/>
      <c r="L57" s="1"/>
      <c r="M57" s="1"/>
      <c r="N57" s="1"/>
      <c r="O57" s="1"/>
      <c r="P57" s="1"/>
      <c r="Q57" s="1"/>
    </row>
    <row r="58" spans="8:17" x14ac:dyDescent="0.25">
      <c r="H58" s="1"/>
      <c r="I58" s="1"/>
      <c r="J58" s="1"/>
      <c r="K58" s="1"/>
      <c r="L58" s="1"/>
      <c r="M58" s="1"/>
      <c r="N58" s="1"/>
      <c r="O58" s="1"/>
      <c r="P58" s="1"/>
      <c r="Q58" s="1"/>
    </row>
    <row r="59" spans="8:17" x14ac:dyDescent="0.25">
      <c r="H59" s="1"/>
      <c r="I59" s="1"/>
      <c r="J59" s="1"/>
      <c r="K59" s="1"/>
      <c r="L59" s="1"/>
      <c r="M59" s="1"/>
      <c r="N59" s="1"/>
      <c r="O59" s="1"/>
      <c r="P59" s="1"/>
      <c r="Q59" s="1"/>
    </row>
    <row r="60" spans="8:17" x14ac:dyDescent="0.25">
      <c r="H60" s="1"/>
      <c r="I60" s="1"/>
      <c r="J60" s="1"/>
      <c r="K60" s="1"/>
      <c r="L60" s="1"/>
      <c r="M60" s="1"/>
      <c r="N60" s="1"/>
      <c r="O60" s="1"/>
      <c r="P60" s="1"/>
      <c r="Q60" s="1"/>
    </row>
    <row r="61" spans="8:17" x14ac:dyDescent="0.25">
      <c r="H61" s="1"/>
      <c r="I61" s="1"/>
      <c r="J61" s="1"/>
      <c r="K61" s="1"/>
      <c r="L61" s="1"/>
      <c r="M61" s="1"/>
      <c r="N61" s="1"/>
      <c r="O61" s="1"/>
      <c r="P61" s="1"/>
      <c r="Q61" s="1"/>
    </row>
    <row r="62" spans="8:17" x14ac:dyDescent="0.25">
      <c r="H62" s="1"/>
      <c r="I62" s="1"/>
      <c r="J62" s="1"/>
      <c r="K62" s="1"/>
      <c r="L62" s="1"/>
      <c r="M62" s="1"/>
      <c r="N62" s="1"/>
      <c r="O62" s="1"/>
      <c r="P62" s="1"/>
      <c r="Q62" s="1"/>
    </row>
    <row r="63" spans="8:17" x14ac:dyDescent="0.25">
      <c r="H63" s="1"/>
      <c r="I63" s="1"/>
      <c r="J63" s="1"/>
      <c r="K63" s="1"/>
      <c r="L63" s="1"/>
      <c r="M63" s="1"/>
      <c r="N63" s="1"/>
      <c r="O63" s="1"/>
      <c r="P63" s="1"/>
      <c r="Q63" s="1"/>
    </row>
    <row r="64" spans="8:17" x14ac:dyDescent="0.25">
      <c r="H64" s="1"/>
      <c r="I64" s="1"/>
      <c r="J64" s="1"/>
      <c r="K64" s="1"/>
      <c r="L64" s="1"/>
      <c r="M64" s="1"/>
      <c r="N64" s="1"/>
      <c r="O64" s="1"/>
      <c r="P64" s="1"/>
      <c r="Q64" s="1"/>
    </row>
    <row r="65" spans="8:17" x14ac:dyDescent="0.25">
      <c r="H65" s="1"/>
      <c r="I65" s="1"/>
      <c r="J65" s="1"/>
      <c r="K65" s="1"/>
      <c r="L65" s="1"/>
      <c r="M65" s="1"/>
      <c r="N65" s="1"/>
      <c r="O65" s="1"/>
      <c r="P65" s="1"/>
      <c r="Q65" s="1"/>
    </row>
    <row r="66" spans="8:17" x14ac:dyDescent="0.25">
      <c r="H66" s="1"/>
      <c r="I66" s="1"/>
      <c r="J66" s="1"/>
      <c r="K66" s="1"/>
      <c r="L66" s="1"/>
      <c r="M66" s="1"/>
      <c r="N66" s="1"/>
      <c r="O66" s="1"/>
      <c r="P66" s="1"/>
      <c r="Q66" s="1"/>
    </row>
    <row r="67" spans="8:17" x14ac:dyDescent="0.25">
      <c r="H67" s="1"/>
      <c r="I67" s="1"/>
      <c r="J67" s="1"/>
      <c r="K67" s="1"/>
      <c r="L67" s="1"/>
      <c r="M67" s="1"/>
      <c r="N67" s="1"/>
      <c r="O67" s="1"/>
      <c r="P67" s="1"/>
      <c r="Q67" s="1"/>
    </row>
    <row r="68" spans="8:17" x14ac:dyDescent="0.25">
      <c r="H68" s="1"/>
      <c r="I68" s="1"/>
      <c r="J68" s="1"/>
      <c r="K68" s="1"/>
      <c r="L68" s="1"/>
      <c r="M68" s="1"/>
      <c r="N68" s="1"/>
      <c r="O68" s="1"/>
      <c r="P68" s="1"/>
      <c r="Q68" s="1"/>
    </row>
    <row r="69" spans="8:17" x14ac:dyDescent="0.25">
      <c r="H69" s="1"/>
      <c r="I69" s="1"/>
      <c r="J69" s="1"/>
      <c r="K69" s="1"/>
      <c r="L69" s="1"/>
      <c r="M69" s="1"/>
      <c r="N69" s="1"/>
      <c r="O69" s="1"/>
      <c r="P69" s="1"/>
      <c r="Q69" s="1"/>
    </row>
    <row r="70" spans="8:17" x14ac:dyDescent="0.25">
      <c r="H70" s="1"/>
      <c r="I70" s="1"/>
      <c r="J70" s="1"/>
      <c r="K70" s="1"/>
      <c r="L70" s="1"/>
      <c r="M70" s="1"/>
      <c r="N70" s="1"/>
      <c r="O70" s="1"/>
      <c r="P70" s="1"/>
      <c r="Q70" s="1"/>
    </row>
    <row r="71" spans="8:17" x14ac:dyDescent="0.25">
      <c r="H71" s="1"/>
      <c r="I71" s="1"/>
      <c r="J71" s="1"/>
      <c r="K71" s="1"/>
      <c r="L71" s="1"/>
      <c r="M71" s="1"/>
      <c r="N71" s="1"/>
      <c r="O71" s="1"/>
      <c r="P71" s="1"/>
      <c r="Q71" s="1"/>
    </row>
    <row r="72" spans="8:17" x14ac:dyDescent="0.25">
      <c r="H72" s="1"/>
      <c r="I72" s="1"/>
      <c r="J72" s="1"/>
      <c r="K72" s="1"/>
      <c r="L72" s="1"/>
      <c r="M72" s="1"/>
      <c r="N72" s="1"/>
      <c r="O72" s="1"/>
      <c r="P72" s="1"/>
      <c r="Q72" s="1"/>
    </row>
    <row r="73" spans="8:17" x14ac:dyDescent="0.25">
      <c r="H73" s="1"/>
      <c r="I73" s="1"/>
      <c r="J73" s="1"/>
      <c r="K73" s="1"/>
      <c r="L73" s="1"/>
      <c r="M73" s="1"/>
      <c r="N73" s="1"/>
      <c r="O73" s="1"/>
      <c r="P73" s="1"/>
      <c r="Q73" s="1"/>
    </row>
    <row r="74" spans="8:17" x14ac:dyDescent="0.25">
      <c r="H74" s="1"/>
      <c r="I74" s="1"/>
      <c r="J74" s="1"/>
      <c r="K74" s="1"/>
      <c r="L74" s="1"/>
      <c r="M74" s="1"/>
      <c r="N74" s="1"/>
      <c r="O74" s="1"/>
      <c r="P74" s="1"/>
      <c r="Q74" s="1"/>
    </row>
    <row r="75" spans="8:17" x14ac:dyDescent="0.25">
      <c r="H75" s="1"/>
      <c r="I75" s="1"/>
      <c r="J75" s="1"/>
      <c r="K75" s="1"/>
      <c r="L75" s="1"/>
      <c r="M75" s="1"/>
      <c r="N75" s="1"/>
      <c r="O75" s="1"/>
      <c r="P75" s="1"/>
      <c r="Q75" s="1"/>
    </row>
    <row r="76" spans="8:17" x14ac:dyDescent="0.25">
      <c r="H76" s="1"/>
      <c r="I76" s="1"/>
      <c r="J76" s="1"/>
      <c r="K76" s="1"/>
      <c r="L76" s="1"/>
      <c r="M76" s="1"/>
      <c r="N76" s="1"/>
      <c r="O76" s="1"/>
      <c r="P76" s="1"/>
      <c r="Q76" s="1"/>
    </row>
    <row r="77" spans="8:17" x14ac:dyDescent="0.25">
      <c r="H77" s="1"/>
      <c r="I77" s="1"/>
      <c r="J77" s="1"/>
      <c r="K77" s="1"/>
      <c r="L77" s="1"/>
      <c r="M77" s="1"/>
      <c r="N77" s="1"/>
      <c r="O77" s="1"/>
      <c r="P77" s="1"/>
      <c r="Q77" s="1"/>
    </row>
    <row r="78" spans="8:17" x14ac:dyDescent="0.25">
      <c r="H78" s="1"/>
      <c r="I78" s="1"/>
      <c r="J78" s="1"/>
      <c r="K78" s="1"/>
      <c r="L78" s="1"/>
      <c r="M78" s="1"/>
      <c r="N78" s="1"/>
      <c r="O78" s="1"/>
      <c r="P78" s="1"/>
      <c r="Q78" s="1"/>
    </row>
    <row r="79" spans="8:17" x14ac:dyDescent="0.25">
      <c r="H79" s="1"/>
      <c r="I79" s="1"/>
      <c r="J79" s="1"/>
      <c r="K79" s="1"/>
      <c r="L79" s="1"/>
      <c r="M79" s="1"/>
      <c r="N79" s="1"/>
      <c r="O79" s="1"/>
      <c r="P79" s="1"/>
      <c r="Q79" s="1"/>
    </row>
    <row r="80" spans="8:17" x14ac:dyDescent="0.25">
      <c r="H80" s="1"/>
      <c r="I80" s="1"/>
      <c r="J80" s="1"/>
      <c r="K80" s="1"/>
      <c r="L80" s="1"/>
      <c r="M80" s="1"/>
      <c r="N80" s="1"/>
      <c r="O80" s="1"/>
      <c r="P80" s="1"/>
      <c r="Q80" s="1"/>
    </row>
    <row r="81" spans="8:17" x14ac:dyDescent="0.25">
      <c r="H81" s="1"/>
      <c r="I81" s="1"/>
      <c r="J81" s="1"/>
      <c r="K81" s="1"/>
      <c r="L81" s="1"/>
      <c r="M81" s="1"/>
      <c r="N81" s="1"/>
      <c r="O81" s="1"/>
      <c r="P81" s="1"/>
      <c r="Q81" s="1"/>
    </row>
    <row r="82" spans="8:17" x14ac:dyDescent="0.25">
      <c r="H82" s="1"/>
      <c r="I82" s="1"/>
      <c r="J82" s="1"/>
      <c r="K82" s="1"/>
      <c r="L82" s="1"/>
      <c r="M82" s="1"/>
      <c r="N82" s="1"/>
      <c r="O82" s="1"/>
      <c r="P82" s="1"/>
      <c r="Q82" s="1"/>
    </row>
    <row r="83" spans="8:17" x14ac:dyDescent="0.25">
      <c r="H83" s="1"/>
      <c r="I83" s="1"/>
      <c r="J83" s="1"/>
      <c r="K83" s="1"/>
      <c r="L83" s="1"/>
      <c r="M83" s="1"/>
      <c r="N83" s="1"/>
      <c r="O83" s="1"/>
      <c r="P83" s="1"/>
      <c r="Q83" s="1"/>
    </row>
    <row r="84" spans="8:17" x14ac:dyDescent="0.25">
      <c r="H84" s="1"/>
      <c r="I84" s="1"/>
      <c r="J84" s="1"/>
      <c r="K84" s="1"/>
      <c r="L84" s="1"/>
      <c r="M84" s="1"/>
      <c r="N84" s="1"/>
      <c r="O84" s="1"/>
      <c r="P84" s="1"/>
      <c r="Q84" s="1"/>
    </row>
    <row r="85" spans="8:17" x14ac:dyDescent="0.25">
      <c r="H85" s="1"/>
      <c r="I85" s="1"/>
      <c r="J85" s="1"/>
      <c r="K85" s="1"/>
      <c r="L85" s="1"/>
      <c r="M85" s="1"/>
      <c r="N85" s="1"/>
      <c r="O85" s="1"/>
      <c r="P85" s="1"/>
      <c r="Q85" s="1"/>
    </row>
    <row r="86" spans="8:17" x14ac:dyDescent="0.25">
      <c r="H86" s="1"/>
      <c r="I86" s="1"/>
      <c r="J86" s="1"/>
      <c r="K86" s="1"/>
      <c r="L86" s="1"/>
      <c r="M86" s="1"/>
      <c r="N86" s="1"/>
      <c r="O86" s="1"/>
      <c r="P86" s="1"/>
      <c r="Q86" s="1"/>
    </row>
    <row r="87" spans="8:17" x14ac:dyDescent="0.25">
      <c r="H87" s="1"/>
      <c r="I87" s="1"/>
      <c r="J87" s="1"/>
      <c r="K87" s="1"/>
      <c r="L87" s="1"/>
      <c r="M87" s="1"/>
      <c r="N87" s="1"/>
      <c r="O87" s="1"/>
      <c r="P87" s="1"/>
      <c r="Q87" s="1"/>
    </row>
    <row r="88" spans="8:17" x14ac:dyDescent="0.25">
      <c r="H88" s="1"/>
      <c r="I88" s="1"/>
      <c r="J88" s="1"/>
      <c r="K88" s="1"/>
      <c r="L88" s="1"/>
      <c r="M88" s="1"/>
      <c r="N88" s="1"/>
      <c r="O88" s="1"/>
      <c r="P88" s="1"/>
      <c r="Q88" s="1"/>
    </row>
    <row r="89" spans="8:17" x14ac:dyDescent="0.25">
      <c r="H89" s="1"/>
      <c r="I89" s="1"/>
      <c r="J89" s="1"/>
      <c r="K89" s="1"/>
      <c r="L89" s="1"/>
      <c r="M89" s="1"/>
      <c r="N89" s="1"/>
      <c r="O89" s="1"/>
      <c r="P89" s="1"/>
      <c r="Q89" s="1"/>
    </row>
    <row r="90" spans="8:17" x14ac:dyDescent="0.25">
      <c r="H90" s="1"/>
      <c r="I90" s="1"/>
      <c r="J90" s="1"/>
      <c r="K90" s="1"/>
      <c r="L90" s="1"/>
      <c r="M90" s="1"/>
      <c r="N90" s="1"/>
      <c r="O90" s="1"/>
      <c r="P90" s="1"/>
      <c r="Q90" s="1"/>
    </row>
    <row r="91" spans="8:17" x14ac:dyDescent="0.25">
      <c r="H91" s="1"/>
      <c r="I91" s="1"/>
      <c r="J91" s="1"/>
      <c r="K91" s="1"/>
      <c r="L91" s="1"/>
      <c r="M91" s="1"/>
      <c r="N91" s="1"/>
      <c r="O91" s="1"/>
      <c r="P91" s="1"/>
      <c r="Q91" s="1"/>
    </row>
    <row r="92" spans="8:17" x14ac:dyDescent="0.25">
      <c r="H92" s="1"/>
      <c r="I92" s="1"/>
      <c r="J92" s="1"/>
      <c r="K92" s="1"/>
      <c r="L92" s="1"/>
      <c r="M92" s="1"/>
      <c r="N92" s="1"/>
      <c r="O92" s="1"/>
      <c r="P92" s="1"/>
      <c r="Q92" s="1"/>
    </row>
    <row r="93" spans="8:17" x14ac:dyDescent="0.25">
      <c r="H93" s="1"/>
      <c r="I93" s="1"/>
      <c r="J93" s="1"/>
      <c r="K93" s="1"/>
      <c r="L93" s="1"/>
      <c r="M93" s="1"/>
      <c r="N93" s="1"/>
      <c r="O93" s="1"/>
      <c r="P93" s="1"/>
      <c r="Q93" s="1"/>
    </row>
    <row r="94" spans="8:17" x14ac:dyDescent="0.25">
      <c r="H94" s="1"/>
      <c r="I94" s="1"/>
      <c r="J94" s="1"/>
      <c r="K94" s="1"/>
      <c r="L94" s="1"/>
      <c r="M94" s="1"/>
      <c r="N94" s="1"/>
      <c r="O94" s="1"/>
      <c r="P94" s="1"/>
      <c r="Q94" s="1"/>
    </row>
    <row r="95" spans="8:17" x14ac:dyDescent="0.25">
      <c r="H95" s="1"/>
      <c r="I95" s="1"/>
      <c r="J95" s="1"/>
      <c r="K95" s="1"/>
      <c r="L95" s="1"/>
      <c r="M95" s="1"/>
      <c r="N95" s="1"/>
      <c r="O95" s="1"/>
      <c r="P95" s="1"/>
      <c r="Q95" s="1"/>
    </row>
    <row r="96" spans="8:17" x14ac:dyDescent="0.25">
      <c r="H96" s="1"/>
      <c r="I96" s="1"/>
      <c r="J96" s="1"/>
      <c r="K96" s="1"/>
      <c r="L96" s="1"/>
      <c r="M96" s="1"/>
      <c r="N96" s="1"/>
      <c r="O96" s="1"/>
      <c r="P96" s="1"/>
      <c r="Q96" s="1"/>
    </row>
    <row r="97" spans="8:17" x14ac:dyDescent="0.25">
      <c r="H97" s="1"/>
      <c r="I97" s="1"/>
      <c r="J97" s="1"/>
      <c r="K97" s="1"/>
      <c r="L97" s="1"/>
      <c r="M97" s="1"/>
      <c r="N97" s="1"/>
      <c r="O97" s="1"/>
      <c r="P97" s="1"/>
      <c r="Q97" s="1"/>
    </row>
    <row r="98" spans="8:17" x14ac:dyDescent="0.25">
      <c r="H98" s="1"/>
      <c r="I98" s="1"/>
      <c r="J98" s="1"/>
      <c r="K98" s="1"/>
      <c r="L98" s="1"/>
      <c r="M98" s="1"/>
      <c r="N98" s="1"/>
      <c r="O98" s="1"/>
      <c r="P98" s="1"/>
      <c r="Q98" s="1"/>
    </row>
    <row r="99" spans="8:17" x14ac:dyDescent="0.25">
      <c r="H99" s="1"/>
      <c r="I99" s="1"/>
      <c r="J99" s="1"/>
      <c r="K99" s="1"/>
      <c r="L99" s="1"/>
      <c r="M99" s="1"/>
      <c r="N99" s="1"/>
      <c r="O99" s="1"/>
      <c r="P99" s="1"/>
      <c r="Q99" s="1"/>
    </row>
    <row r="100" spans="8:17" x14ac:dyDescent="0.25">
      <c r="H100" s="1"/>
      <c r="I100" s="1"/>
      <c r="J100" s="1"/>
      <c r="K100" s="1"/>
      <c r="L100" s="1"/>
      <c r="M100" s="1"/>
      <c r="N100" s="1"/>
      <c r="O100" s="1"/>
      <c r="P100" s="1"/>
      <c r="Q100" s="1"/>
    </row>
  </sheetData>
  <conditionalFormatting sqref="A2:R2">
    <cfRule type="expression" dxfId="5" priority="1" stopIfTrue="1">
      <formula>A2=""</formula>
    </cfRule>
    <cfRule type="expression" dxfId="4" priority="2" stopIfTrue="1">
      <formula>$R2="True"</formula>
    </cfRule>
    <cfRule type="expression" dxfId="3" priority="3" stopIfTrue="1">
      <formula>$R2="False"</formula>
    </cfRule>
  </conditionalFormatting>
  <hyperlinks>
    <hyperlink ref="B2" r:id="rId1" xr:uid="{00000000-0004-0000-0300-000000000000}"/>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T100"/>
  <sheetViews>
    <sheetView workbookViewId="0">
      <selection activeCell="R16" sqref="R16"/>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397</v>
      </c>
      <c r="B2" s="3" t="s">
        <v>411</v>
      </c>
      <c r="C2" s="2" t="s">
        <v>425</v>
      </c>
      <c r="D2" s="2" t="s">
        <v>21</v>
      </c>
      <c r="E2" s="2">
        <v>15</v>
      </c>
      <c r="F2" s="2" t="s">
        <v>439</v>
      </c>
      <c r="G2" s="2" t="s">
        <v>23</v>
      </c>
      <c r="H2" s="4" t="s">
        <v>450</v>
      </c>
      <c r="I2" s="4" t="s">
        <v>464</v>
      </c>
      <c r="J2" s="4" t="s">
        <v>478</v>
      </c>
      <c r="K2" s="4" t="s">
        <v>492</v>
      </c>
      <c r="L2" s="4"/>
      <c r="M2" s="4"/>
      <c r="N2" s="4" t="s">
        <v>515</v>
      </c>
      <c r="O2" s="4" t="s">
        <v>529</v>
      </c>
      <c r="P2" s="4" t="s">
        <v>543</v>
      </c>
      <c r="Q2" s="4" t="s">
        <v>554</v>
      </c>
      <c r="R2" s="2" t="s">
        <v>33</v>
      </c>
      <c r="S2" s="6" t="str">
        <f>HYPERLINK(B2,"link")</f>
        <v>link</v>
      </c>
      <c r="T2" s="6" t="str">
        <f>HYPERLINK(C2,"pdf")</f>
        <v>pdf</v>
      </c>
    </row>
    <row r="3" spans="1:20" x14ac:dyDescent="0.25">
      <c r="A3" s="2" t="s">
        <v>398</v>
      </c>
      <c r="B3" s="3" t="s">
        <v>412</v>
      </c>
      <c r="C3" s="2" t="s">
        <v>426</v>
      </c>
      <c r="D3" s="2" t="s">
        <v>21</v>
      </c>
      <c r="E3" s="2">
        <v>7</v>
      </c>
      <c r="F3" s="2" t="s">
        <v>440</v>
      </c>
      <c r="G3" s="2" t="s">
        <v>23</v>
      </c>
      <c r="H3" s="4" t="s">
        <v>451</v>
      </c>
      <c r="I3" s="4" t="s">
        <v>465</v>
      </c>
      <c r="J3" s="4" t="s">
        <v>479</v>
      </c>
      <c r="K3" s="4" t="s">
        <v>493</v>
      </c>
      <c r="L3" s="4"/>
      <c r="M3" s="4"/>
      <c r="N3" s="4" t="s">
        <v>516</v>
      </c>
      <c r="O3" s="4" t="s">
        <v>530</v>
      </c>
      <c r="P3" s="4"/>
      <c r="Q3" s="4"/>
      <c r="R3" s="2" t="s">
        <v>33</v>
      </c>
      <c r="S3" s="6" t="str">
        <f t="shared" ref="S3:S15" si="0">HYPERLINK(B3,"link")</f>
        <v>link</v>
      </c>
      <c r="T3" s="6" t="str">
        <f t="shared" ref="T3:T15" si="1">HYPERLINK(C3,"pdf")</f>
        <v>pdf</v>
      </c>
    </row>
    <row r="4" spans="1:20" x14ac:dyDescent="0.25">
      <c r="A4" s="2" t="s">
        <v>399</v>
      </c>
      <c r="B4" s="3" t="s">
        <v>413</v>
      </c>
      <c r="C4" s="2" t="s">
        <v>427</v>
      </c>
      <c r="D4" s="2" t="s">
        <v>21</v>
      </c>
      <c r="E4" s="2">
        <v>7</v>
      </c>
      <c r="F4" s="2" t="s">
        <v>441</v>
      </c>
      <c r="G4" s="2" t="s">
        <v>23</v>
      </c>
      <c r="H4" s="4" t="s">
        <v>452</v>
      </c>
      <c r="I4" s="4" t="s">
        <v>466</v>
      </c>
      <c r="J4" s="4" t="s">
        <v>480</v>
      </c>
      <c r="K4" s="4" t="s">
        <v>494</v>
      </c>
      <c r="L4" s="4" t="s">
        <v>506</v>
      </c>
      <c r="M4" s="4"/>
      <c r="N4" s="4" t="s">
        <v>517</v>
      </c>
      <c r="O4" s="4" t="s">
        <v>531</v>
      </c>
      <c r="P4" s="4" t="s">
        <v>544</v>
      </c>
      <c r="Q4" s="4" t="s">
        <v>555</v>
      </c>
      <c r="R4" s="2" t="s">
        <v>33</v>
      </c>
      <c r="S4" s="6" t="str">
        <f t="shared" si="0"/>
        <v>link</v>
      </c>
      <c r="T4" s="6" t="str">
        <f t="shared" si="1"/>
        <v>pdf</v>
      </c>
    </row>
    <row r="5" spans="1:20" x14ac:dyDescent="0.25">
      <c r="A5" s="2" t="s">
        <v>400</v>
      </c>
      <c r="B5" s="3" t="s">
        <v>414</v>
      </c>
      <c r="C5" s="2" t="s">
        <v>428</v>
      </c>
      <c r="D5" s="2" t="s">
        <v>21</v>
      </c>
      <c r="E5" s="2">
        <v>3</v>
      </c>
      <c r="F5" s="2" t="s">
        <v>119</v>
      </c>
      <c r="G5" s="2" t="s">
        <v>23</v>
      </c>
      <c r="H5" s="4" t="s">
        <v>453</v>
      </c>
      <c r="I5" s="4" t="s">
        <v>467</v>
      </c>
      <c r="J5" s="4" t="s">
        <v>481</v>
      </c>
      <c r="K5" s="4" t="s">
        <v>495</v>
      </c>
      <c r="L5" s="4"/>
      <c r="M5" s="4"/>
      <c r="N5" s="4" t="s">
        <v>518</v>
      </c>
      <c r="O5" s="4" t="s">
        <v>532</v>
      </c>
      <c r="P5" s="4" t="s">
        <v>545</v>
      </c>
      <c r="Q5" s="4" t="s">
        <v>556</v>
      </c>
      <c r="R5" s="2" t="s">
        <v>33</v>
      </c>
      <c r="S5" s="6" t="str">
        <f t="shared" si="0"/>
        <v>link</v>
      </c>
      <c r="T5" s="6" t="str">
        <f t="shared" si="1"/>
        <v>pdf</v>
      </c>
    </row>
    <row r="6" spans="1:20" x14ac:dyDescent="0.25">
      <c r="A6" s="2" t="s">
        <v>401</v>
      </c>
      <c r="B6" s="3" t="s">
        <v>415</v>
      </c>
      <c r="C6" s="2" t="s">
        <v>429</v>
      </c>
      <c r="D6" s="2" t="s">
        <v>21</v>
      </c>
      <c r="E6" s="2">
        <v>1</v>
      </c>
      <c r="F6" s="2" t="s">
        <v>442</v>
      </c>
      <c r="G6" s="2" t="s">
        <v>23</v>
      </c>
      <c r="H6" s="4" t="s">
        <v>454</v>
      </c>
      <c r="I6" s="4" t="s">
        <v>468</v>
      </c>
      <c r="J6" s="4" t="s">
        <v>482</v>
      </c>
      <c r="K6" s="4" t="s">
        <v>496</v>
      </c>
      <c r="L6" s="4" t="s">
        <v>507</v>
      </c>
      <c r="M6" s="4"/>
      <c r="N6" s="4" t="s">
        <v>519</v>
      </c>
      <c r="O6" s="4" t="s">
        <v>533</v>
      </c>
      <c r="P6" s="4"/>
      <c r="Q6" s="4" t="s">
        <v>557</v>
      </c>
      <c r="R6" s="2" t="s">
        <v>33</v>
      </c>
      <c r="S6" s="6" t="str">
        <f t="shared" si="0"/>
        <v>link</v>
      </c>
      <c r="T6" s="6" t="str">
        <f t="shared" si="1"/>
        <v>pdf</v>
      </c>
    </row>
    <row r="7" spans="1:20" x14ac:dyDescent="0.25">
      <c r="A7" s="2" t="s">
        <v>402</v>
      </c>
      <c r="B7" s="3" t="s">
        <v>416</v>
      </c>
      <c r="C7" s="2" t="s">
        <v>430</v>
      </c>
      <c r="D7" s="2" t="s">
        <v>21</v>
      </c>
      <c r="E7" s="2">
        <v>0</v>
      </c>
      <c r="F7" s="2" t="s">
        <v>443</v>
      </c>
      <c r="G7" s="2" t="s">
        <v>23</v>
      </c>
      <c r="H7" s="4" t="s">
        <v>455</v>
      </c>
      <c r="I7" s="4" t="s">
        <v>469</v>
      </c>
      <c r="J7" s="4" t="s">
        <v>483</v>
      </c>
      <c r="K7" s="4" t="s">
        <v>497</v>
      </c>
      <c r="L7" s="4"/>
      <c r="M7" s="4"/>
      <c r="N7" s="4" t="s">
        <v>520</v>
      </c>
      <c r="O7" s="4" t="s">
        <v>534</v>
      </c>
      <c r="P7" s="4"/>
      <c r="Q7" s="4"/>
      <c r="R7" s="2" t="s">
        <v>33</v>
      </c>
      <c r="S7" s="6" t="str">
        <f t="shared" si="0"/>
        <v>link</v>
      </c>
      <c r="T7" s="6" t="str">
        <f t="shared" si="1"/>
        <v>pdf</v>
      </c>
    </row>
    <row r="8" spans="1:20" x14ac:dyDescent="0.25">
      <c r="A8" s="2" t="s">
        <v>403</v>
      </c>
      <c r="B8" s="3" t="s">
        <v>417</v>
      </c>
      <c r="C8" s="2" t="s">
        <v>431</v>
      </c>
      <c r="D8" s="2" t="s">
        <v>21</v>
      </c>
      <c r="E8" s="2">
        <v>0</v>
      </c>
      <c r="F8" s="2" t="s">
        <v>444</v>
      </c>
      <c r="G8" s="2" t="s">
        <v>23</v>
      </c>
      <c r="H8" s="4" t="s">
        <v>456</v>
      </c>
      <c r="I8" s="4" t="s">
        <v>470</v>
      </c>
      <c r="J8" s="4" t="s">
        <v>484</v>
      </c>
      <c r="K8" s="4" t="s">
        <v>498</v>
      </c>
      <c r="L8" s="4" t="s">
        <v>508</v>
      </c>
      <c r="M8" s="4"/>
      <c r="N8" s="4" t="s">
        <v>521</v>
      </c>
      <c r="O8" s="4" t="s">
        <v>535</v>
      </c>
      <c r="P8" s="4" t="s">
        <v>546</v>
      </c>
      <c r="Q8" s="4" t="s">
        <v>558</v>
      </c>
      <c r="R8" s="2" t="s">
        <v>33</v>
      </c>
      <c r="S8" s="6" t="str">
        <f t="shared" si="0"/>
        <v>link</v>
      </c>
      <c r="T8" s="6" t="str">
        <f t="shared" si="1"/>
        <v>pdf</v>
      </c>
    </row>
    <row r="9" spans="1:20" x14ac:dyDescent="0.25">
      <c r="A9" s="2" t="s">
        <v>404</v>
      </c>
      <c r="B9" s="3" t="s">
        <v>418</v>
      </c>
      <c r="C9" s="2" t="s">
        <v>432</v>
      </c>
      <c r="D9" s="2" t="s">
        <v>21</v>
      </c>
      <c r="E9" s="2">
        <v>0</v>
      </c>
      <c r="F9" s="2" t="s">
        <v>445</v>
      </c>
      <c r="G9" s="2" t="s">
        <v>23</v>
      </c>
      <c r="H9" s="4" t="s">
        <v>457</v>
      </c>
      <c r="I9" s="4" t="s">
        <v>471</v>
      </c>
      <c r="J9" s="4" t="s">
        <v>485</v>
      </c>
      <c r="K9" s="4" t="s">
        <v>499</v>
      </c>
      <c r="L9" s="4" t="s">
        <v>509</v>
      </c>
      <c r="M9" s="4"/>
      <c r="N9" s="4" t="s">
        <v>522</v>
      </c>
      <c r="O9" s="4" t="s">
        <v>536</v>
      </c>
      <c r="P9" s="4" t="s">
        <v>547</v>
      </c>
      <c r="Q9" s="4" t="s">
        <v>559</v>
      </c>
      <c r="R9" s="2" t="s">
        <v>33</v>
      </c>
      <c r="S9" s="6" t="str">
        <f t="shared" si="0"/>
        <v>link</v>
      </c>
      <c r="T9" s="6" t="str">
        <f t="shared" si="1"/>
        <v>pdf</v>
      </c>
    </row>
    <row r="10" spans="1:20" x14ac:dyDescent="0.25">
      <c r="A10" s="2" t="s">
        <v>405</v>
      </c>
      <c r="B10" s="3" t="s">
        <v>419</v>
      </c>
      <c r="C10" s="2" t="s">
        <v>433</v>
      </c>
      <c r="D10" s="2" t="s">
        <v>21</v>
      </c>
      <c r="E10" s="2">
        <v>0</v>
      </c>
      <c r="F10" s="2" t="s">
        <v>446</v>
      </c>
      <c r="G10" s="2" t="s">
        <v>23</v>
      </c>
      <c r="H10" s="4" t="s">
        <v>458</v>
      </c>
      <c r="I10" s="4" t="s">
        <v>472</v>
      </c>
      <c r="J10" s="4" t="s">
        <v>486</v>
      </c>
      <c r="K10" s="4" t="s">
        <v>500</v>
      </c>
      <c r="L10" s="4" t="s">
        <v>510</v>
      </c>
      <c r="M10" s="4"/>
      <c r="N10" s="4" t="s">
        <v>523</v>
      </c>
      <c r="O10" s="4" t="s">
        <v>537</v>
      </c>
      <c r="P10" s="4" t="s">
        <v>548</v>
      </c>
      <c r="Q10" s="4" t="s">
        <v>560</v>
      </c>
      <c r="R10" s="2" t="s">
        <v>33</v>
      </c>
      <c r="S10" s="6" t="str">
        <f t="shared" si="0"/>
        <v>link</v>
      </c>
      <c r="T10" s="6" t="str">
        <f t="shared" si="1"/>
        <v>pdf</v>
      </c>
    </row>
    <row r="11" spans="1:20" x14ac:dyDescent="0.25">
      <c r="A11" s="2" t="s">
        <v>406</v>
      </c>
      <c r="B11" s="3" t="s">
        <v>420</v>
      </c>
      <c r="C11" s="2" t="s">
        <v>434</v>
      </c>
      <c r="D11" s="2" t="s">
        <v>21</v>
      </c>
      <c r="E11" s="2">
        <v>0</v>
      </c>
      <c r="F11" s="2" t="s">
        <v>447</v>
      </c>
      <c r="G11" s="2" t="s">
        <v>23</v>
      </c>
      <c r="H11" s="4" t="s">
        <v>459</v>
      </c>
      <c r="I11" s="4" t="s">
        <v>473</v>
      </c>
      <c r="J11" s="4" t="s">
        <v>487</v>
      </c>
      <c r="K11" s="4" t="s">
        <v>501</v>
      </c>
      <c r="L11" s="4" t="s">
        <v>511</v>
      </c>
      <c r="M11" s="4"/>
      <c r="N11" s="4" t="s">
        <v>524</v>
      </c>
      <c r="O11" s="4" t="s">
        <v>538</v>
      </c>
      <c r="P11" s="4" t="s">
        <v>549</v>
      </c>
      <c r="Q11" s="4" t="s">
        <v>561</v>
      </c>
      <c r="R11" s="2" t="s">
        <v>33</v>
      </c>
      <c r="S11" s="6" t="str">
        <f t="shared" si="0"/>
        <v>link</v>
      </c>
      <c r="T11" s="6" t="str">
        <f t="shared" si="1"/>
        <v>pdf</v>
      </c>
    </row>
    <row r="12" spans="1:20" x14ac:dyDescent="0.25">
      <c r="A12" s="2" t="s">
        <v>407</v>
      </c>
      <c r="B12" s="3" t="s">
        <v>421</v>
      </c>
      <c r="C12" s="2" t="s">
        <v>435</v>
      </c>
      <c r="D12" s="2" t="s">
        <v>21</v>
      </c>
      <c r="E12" s="2">
        <v>0</v>
      </c>
      <c r="F12" s="2" t="s">
        <v>448</v>
      </c>
      <c r="G12" s="2" t="s">
        <v>23</v>
      </c>
      <c r="H12" s="4" t="s">
        <v>460</v>
      </c>
      <c r="I12" s="4" t="s">
        <v>474</v>
      </c>
      <c r="J12" s="4" t="s">
        <v>488</v>
      </c>
      <c r="K12" s="4" t="s">
        <v>502</v>
      </c>
      <c r="L12" s="4" t="s">
        <v>512</v>
      </c>
      <c r="M12" s="4"/>
      <c r="N12" s="4" t="s">
        <v>525</v>
      </c>
      <c r="O12" s="4" t="s">
        <v>539</v>
      </c>
      <c r="P12" s="4" t="s">
        <v>550</v>
      </c>
      <c r="Q12" s="4" t="s">
        <v>562</v>
      </c>
      <c r="R12" s="2" t="s">
        <v>33</v>
      </c>
      <c r="S12" s="6" t="str">
        <f t="shared" si="0"/>
        <v>link</v>
      </c>
      <c r="T12" s="6" t="str">
        <f t="shared" si="1"/>
        <v>pdf</v>
      </c>
    </row>
    <row r="13" spans="1:20" x14ac:dyDescent="0.25">
      <c r="A13" s="2" t="s">
        <v>408</v>
      </c>
      <c r="B13" s="3" t="s">
        <v>422</v>
      </c>
      <c r="C13" s="2" t="s">
        <v>436</v>
      </c>
      <c r="D13" s="2" t="s">
        <v>21</v>
      </c>
      <c r="E13" s="2">
        <v>0</v>
      </c>
      <c r="F13" s="2" t="s">
        <v>448</v>
      </c>
      <c r="G13" s="2" t="s">
        <v>23</v>
      </c>
      <c r="H13" s="4" t="s">
        <v>461</v>
      </c>
      <c r="I13" s="4" t="s">
        <v>475</v>
      </c>
      <c r="J13" s="4" t="s">
        <v>489</v>
      </c>
      <c r="K13" s="4" t="s">
        <v>503</v>
      </c>
      <c r="L13" s="4" t="s">
        <v>513</v>
      </c>
      <c r="M13" s="4"/>
      <c r="N13" s="4" t="s">
        <v>526</v>
      </c>
      <c r="O13" s="4" t="s">
        <v>540</v>
      </c>
      <c r="P13" s="4" t="s">
        <v>551</v>
      </c>
      <c r="Q13" s="4" t="s">
        <v>563</v>
      </c>
      <c r="R13" s="2" t="s">
        <v>33</v>
      </c>
      <c r="S13" s="6" t="str">
        <f t="shared" si="0"/>
        <v>link</v>
      </c>
      <c r="T13" s="6" t="str">
        <f t="shared" si="1"/>
        <v>pdf</v>
      </c>
    </row>
    <row r="14" spans="1:20" x14ac:dyDescent="0.25">
      <c r="A14" s="2" t="s">
        <v>409</v>
      </c>
      <c r="B14" s="3" t="s">
        <v>423</v>
      </c>
      <c r="C14" s="2" t="s">
        <v>437</v>
      </c>
      <c r="D14" s="2" t="s">
        <v>21</v>
      </c>
      <c r="E14" s="2">
        <v>0</v>
      </c>
      <c r="F14" s="2" t="s">
        <v>449</v>
      </c>
      <c r="G14" s="2" t="s">
        <v>23</v>
      </c>
      <c r="H14" s="4" t="s">
        <v>462</v>
      </c>
      <c r="I14" s="4" t="s">
        <v>476</v>
      </c>
      <c r="J14" s="4" t="s">
        <v>490</v>
      </c>
      <c r="K14" s="4" t="s">
        <v>504</v>
      </c>
      <c r="L14" s="4" t="s">
        <v>514</v>
      </c>
      <c r="M14" s="4"/>
      <c r="N14" s="4" t="s">
        <v>527</v>
      </c>
      <c r="O14" s="4" t="s">
        <v>541</v>
      </c>
      <c r="P14" s="4" t="s">
        <v>552</v>
      </c>
      <c r="Q14" s="4" t="s">
        <v>564</v>
      </c>
      <c r="R14" s="2" t="s">
        <v>33</v>
      </c>
      <c r="S14" s="6" t="str">
        <f t="shared" si="0"/>
        <v>link</v>
      </c>
      <c r="T14" s="6" t="str">
        <f t="shared" si="1"/>
        <v>pdf</v>
      </c>
    </row>
    <row r="15" spans="1:20" x14ac:dyDescent="0.25">
      <c r="A15" s="2" t="s">
        <v>410</v>
      </c>
      <c r="B15" s="3" t="s">
        <v>424</v>
      </c>
      <c r="C15" s="2" t="s">
        <v>438</v>
      </c>
      <c r="D15" s="2" t="s">
        <v>33</v>
      </c>
      <c r="E15" s="2">
        <v>0</v>
      </c>
      <c r="F15" s="2" t="s">
        <v>135</v>
      </c>
      <c r="G15" s="2" t="s">
        <v>23</v>
      </c>
      <c r="H15" s="4" t="s">
        <v>463</v>
      </c>
      <c r="I15" s="4" t="s">
        <v>477</v>
      </c>
      <c r="J15" s="4" t="s">
        <v>491</v>
      </c>
      <c r="K15" s="4" t="s">
        <v>505</v>
      </c>
      <c r="L15" s="4"/>
      <c r="M15" s="4"/>
      <c r="N15" s="4" t="s">
        <v>528</v>
      </c>
      <c r="O15" s="4" t="s">
        <v>542</v>
      </c>
      <c r="P15" s="4" t="s">
        <v>553</v>
      </c>
      <c r="Q15" s="4" t="s">
        <v>565</v>
      </c>
      <c r="R15" s="2" t="s">
        <v>33</v>
      </c>
      <c r="S15" s="6" t="str">
        <f t="shared" si="0"/>
        <v>link</v>
      </c>
      <c r="T15" s="6" t="str">
        <f t="shared" si="1"/>
        <v>pdf</v>
      </c>
    </row>
    <row r="16" spans="1:20" x14ac:dyDescent="0.25">
      <c r="H16" s="1"/>
      <c r="I16" s="1"/>
      <c r="J16" s="1"/>
      <c r="K16" s="1"/>
      <c r="L16" s="1"/>
      <c r="M16" s="1"/>
      <c r="N16" s="1"/>
      <c r="O16" s="1"/>
      <c r="P16" s="1"/>
      <c r="Q16" s="1"/>
    </row>
    <row r="17" spans="8:17" x14ac:dyDescent="0.25">
      <c r="H17" s="1"/>
      <c r="I17" s="1"/>
      <c r="J17" s="1"/>
      <c r="K17" s="1"/>
      <c r="L17" s="1"/>
      <c r="M17" s="1"/>
      <c r="N17" s="1"/>
      <c r="O17" s="1"/>
      <c r="P17" s="1"/>
      <c r="Q17" s="1"/>
    </row>
    <row r="18" spans="8:17" x14ac:dyDescent="0.25">
      <c r="H18" s="1"/>
      <c r="I18" s="1"/>
      <c r="J18" s="1"/>
      <c r="K18" s="1"/>
      <c r="L18" s="1"/>
      <c r="M18" s="1"/>
      <c r="N18" s="1"/>
      <c r="O18" s="1"/>
      <c r="P18" s="1"/>
      <c r="Q18" s="1"/>
    </row>
    <row r="19" spans="8:17" x14ac:dyDescent="0.25">
      <c r="H19" s="1"/>
      <c r="I19" s="1"/>
      <c r="J19" s="1"/>
      <c r="K19" s="1"/>
      <c r="L19" s="1"/>
      <c r="M19" s="1"/>
      <c r="N19" s="1"/>
      <c r="O19" s="1"/>
      <c r="P19" s="1"/>
      <c r="Q19" s="1"/>
    </row>
    <row r="20" spans="8:17" x14ac:dyDescent="0.25">
      <c r="H20" s="1"/>
      <c r="I20" s="1"/>
      <c r="J20" s="1"/>
      <c r="K20" s="1"/>
      <c r="L20" s="1"/>
      <c r="M20" s="1"/>
      <c r="N20" s="1"/>
      <c r="O20" s="1"/>
      <c r="P20" s="1"/>
      <c r="Q20" s="1"/>
    </row>
    <row r="21" spans="8:17" x14ac:dyDescent="0.25">
      <c r="H21" s="1"/>
      <c r="I21" s="1"/>
      <c r="J21" s="1"/>
      <c r="K21" s="1"/>
      <c r="L21" s="1"/>
      <c r="M21" s="1"/>
      <c r="N21" s="1"/>
      <c r="O21" s="1"/>
      <c r="P21" s="1"/>
      <c r="Q21" s="1"/>
    </row>
    <row r="22" spans="8:17" x14ac:dyDescent="0.25">
      <c r="H22" s="1"/>
      <c r="I22" s="1"/>
      <c r="J22" s="1"/>
      <c r="K22" s="1"/>
      <c r="L22" s="1"/>
      <c r="M22" s="1"/>
      <c r="N22" s="1"/>
      <c r="O22" s="1"/>
      <c r="P22" s="1"/>
      <c r="Q22" s="1"/>
    </row>
    <row r="23" spans="8:17" x14ac:dyDescent="0.25">
      <c r="H23" s="1"/>
      <c r="I23" s="1"/>
      <c r="J23" s="1"/>
      <c r="K23" s="1"/>
      <c r="L23" s="1"/>
      <c r="M23" s="1"/>
      <c r="N23" s="1"/>
      <c r="O23" s="1"/>
      <c r="P23" s="1"/>
      <c r="Q23" s="1"/>
    </row>
    <row r="24" spans="8:17" x14ac:dyDescent="0.25">
      <c r="H24" s="1"/>
      <c r="I24" s="1"/>
      <c r="J24" s="1"/>
      <c r="K24" s="1"/>
      <c r="L24" s="1"/>
      <c r="M24" s="1"/>
      <c r="N24" s="1"/>
      <c r="O24" s="1"/>
      <c r="P24" s="1"/>
      <c r="Q24" s="1"/>
    </row>
    <row r="25" spans="8:17" x14ac:dyDescent="0.25">
      <c r="H25" s="1"/>
      <c r="I25" s="1"/>
      <c r="J25" s="1"/>
      <c r="K25" s="1"/>
      <c r="L25" s="1"/>
      <c r="M25" s="1"/>
      <c r="N25" s="1"/>
      <c r="O25" s="1"/>
      <c r="P25" s="1"/>
      <c r="Q25" s="1"/>
    </row>
    <row r="26" spans="8:17" x14ac:dyDescent="0.25">
      <c r="H26" s="1"/>
      <c r="I26" s="1"/>
      <c r="J26" s="1"/>
      <c r="K26" s="1"/>
      <c r="L26" s="1"/>
      <c r="M26" s="1"/>
      <c r="N26" s="1"/>
      <c r="O26" s="1"/>
      <c r="P26" s="1"/>
      <c r="Q26" s="1"/>
    </row>
    <row r="27" spans="8:17" x14ac:dyDescent="0.25">
      <c r="H27" s="1"/>
      <c r="I27" s="1"/>
      <c r="J27" s="1"/>
      <c r="K27" s="1"/>
      <c r="L27" s="1"/>
      <c r="M27" s="1"/>
      <c r="N27" s="1"/>
      <c r="O27" s="1"/>
      <c r="P27" s="1"/>
      <c r="Q27" s="1"/>
    </row>
    <row r="28" spans="8:17" x14ac:dyDescent="0.25">
      <c r="H28" s="1"/>
      <c r="I28" s="1"/>
      <c r="J28" s="1"/>
      <c r="K28" s="1"/>
      <c r="L28" s="1"/>
      <c r="M28" s="1"/>
      <c r="N28" s="1"/>
      <c r="O28" s="1"/>
      <c r="P28" s="1"/>
      <c r="Q28" s="1"/>
    </row>
    <row r="29" spans="8:17" x14ac:dyDescent="0.25">
      <c r="H29" s="1"/>
      <c r="I29" s="1"/>
      <c r="J29" s="1"/>
      <c r="K29" s="1"/>
      <c r="L29" s="1"/>
      <c r="M29" s="1"/>
      <c r="N29" s="1"/>
      <c r="O29" s="1"/>
      <c r="P29" s="1"/>
      <c r="Q29" s="1"/>
    </row>
    <row r="30" spans="8:17" x14ac:dyDescent="0.25">
      <c r="H30" s="1"/>
      <c r="I30" s="1"/>
      <c r="J30" s="1"/>
      <c r="K30" s="1"/>
      <c r="L30" s="1"/>
      <c r="M30" s="1"/>
      <c r="N30" s="1"/>
      <c r="O30" s="1"/>
      <c r="P30" s="1"/>
      <c r="Q30" s="1"/>
    </row>
    <row r="31" spans="8:17" x14ac:dyDescent="0.25">
      <c r="H31" s="1"/>
      <c r="I31" s="1"/>
      <c r="J31" s="1"/>
      <c r="K31" s="1"/>
      <c r="L31" s="1"/>
      <c r="M31" s="1"/>
      <c r="N31" s="1"/>
      <c r="O31" s="1"/>
      <c r="P31" s="1"/>
      <c r="Q31" s="1"/>
    </row>
    <row r="32" spans="8:17"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row r="41" spans="8:17" x14ac:dyDescent="0.25">
      <c r="H41" s="1"/>
      <c r="I41" s="1"/>
      <c r="J41" s="1"/>
      <c r="K41" s="1"/>
      <c r="L41" s="1"/>
      <c r="M41" s="1"/>
      <c r="N41" s="1"/>
      <c r="O41" s="1"/>
      <c r="P41" s="1"/>
      <c r="Q41" s="1"/>
    </row>
    <row r="42" spans="8:17" x14ac:dyDescent="0.25">
      <c r="H42" s="1"/>
      <c r="I42" s="1"/>
      <c r="J42" s="1"/>
      <c r="K42" s="1"/>
      <c r="L42" s="1"/>
      <c r="M42" s="1"/>
      <c r="N42" s="1"/>
      <c r="O42" s="1"/>
      <c r="P42" s="1"/>
      <c r="Q42" s="1"/>
    </row>
    <row r="43" spans="8:17" x14ac:dyDescent="0.25">
      <c r="H43" s="1"/>
      <c r="I43" s="1"/>
      <c r="J43" s="1"/>
      <c r="K43" s="1"/>
      <c r="L43" s="1"/>
      <c r="M43" s="1"/>
      <c r="N43" s="1"/>
      <c r="O43" s="1"/>
      <c r="P43" s="1"/>
      <c r="Q43" s="1"/>
    </row>
    <row r="44" spans="8:17" x14ac:dyDescent="0.25">
      <c r="H44" s="1"/>
      <c r="I44" s="1"/>
      <c r="J44" s="1"/>
      <c r="K44" s="1"/>
      <c r="L44" s="1"/>
      <c r="M44" s="1"/>
      <c r="N44" s="1"/>
      <c r="O44" s="1"/>
      <c r="P44" s="1"/>
      <c r="Q44" s="1"/>
    </row>
    <row r="45" spans="8:17" x14ac:dyDescent="0.25">
      <c r="H45" s="1"/>
      <c r="I45" s="1"/>
      <c r="J45" s="1"/>
      <c r="K45" s="1"/>
      <c r="L45" s="1"/>
      <c r="M45" s="1"/>
      <c r="N45" s="1"/>
      <c r="O45" s="1"/>
      <c r="P45" s="1"/>
      <c r="Q45" s="1"/>
    </row>
    <row r="46" spans="8:17" x14ac:dyDescent="0.25">
      <c r="H46" s="1"/>
      <c r="I46" s="1"/>
      <c r="J46" s="1"/>
      <c r="K46" s="1"/>
      <c r="L46" s="1"/>
      <c r="M46" s="1"/>
      <c r="N46" s="1"/>
      <c r="O46" s="1"/>
      <c r="P46" s="1"/>
      <c r="Q46" s="1"/>
    </row>
    <row r="47" spans="8:17" x14ac:dyDescent="0.25">
      <c r="H47" s="1"/>
      <c r="I47" s="1"/>
      <c r="J47" s="1"/>
      <c r="K47" s="1"/>
      <c r="L47" s="1"/>
      <c r="M47" s="1"/>
      <c r="N47" s="1"/>
      <c r="O47" s="1"/>
      <c r="P47" s="1"/>
      <c r="Q47" s="1"/>
    </row>
    <row r="48" spans="8:17" x14ac:dyDescent="0.25">
      <c r="H48" s="1"/>
      <c r="I48" s="1"/>
      <c r="J48" s="1"/>
      <c r="K48" s="1"/>
      <c r="L48" s="1"/>
      <c r="M48" s="1"/>
      <c r="N48" s="1"/>
      <c r="O48" s="1"/>
      <c r="P48" s="1"/>
      <c r="Q48" s="1"/>
    </row>
    <row r="49" spans="8:17" x14ac:dyDescent="0.25">
      <c r="H49" s="1"/>
      <c r="I49" s="1"/>
      <c r="J49" s="1"/>
      <c r="K49" s="1"/>
      <c r="L49" s="1"/>
      <c r="M49" s="1"/>
      <c r="N49" s="1"/>
      <c r="O49" s="1"/>
      <c r="P49" s="1"/>
      <c r="Q49" s="1"/>
    </row>
    <row r="50" spans="8:17" x14ac:dyDescent="0.25">
      <c r="H50" s="1"/>
      <c r="I50" s="1"/>
      <c r="J50" s="1"/>
      <c r="K50" s="1"/>
      <c r="L50" s="1"/>
      <c r="M50" s="1"/>
      <c r="N50" s="1"/>
      <c r="O50" s="1"/>
      <c r="P50" s="1"/>
      <c r="Q50" s="1"/>
    </row>
    <row r="51" spans="8:17" x14ac:dyDescent="0.25">
      <c r="H51" s="1"/>
      <c r="I51" s="1"/>
      <c r="J51" s="1"/>
      <c r="K51" s="1"/>
      <c r="L51" s="1"/>
      <c r="M51" s="1"/>
      <c r="N51" s="1"/>
      <c r="O51" s="1"/>
      <c r="P51" s="1"/>
      <c r="Q51" s="1"/>
    </row>
    <row r="52" spans="8:17" x14ac:dyDescent="0.25">
      <c r="H52" s="1"/>
      <c r="I52" s="1"/>
      <c r="J52" s="1"/>
      <c r="K52" s="1"/>
      <c r="L52" s="1"/>
      <c r="M52" s="1"/>
      <c r="N52" s="1"/>
      <c r="O52" s="1"/>
      <c r="P52" s="1"/>
      <c r="Q52" s="1"/>
    </row>
    <row r="53" spans="8:17" x14ac:dyDescent="0.25">
      <c r="H53" s="1"/>
      <c r="I53" s="1"/>
      <c r="J53" s="1"/>
      <c r="K53" s="1"/>
      <c r="L53" s="1"/>
      <c r="M53" s="1"/>
      <c r="N53" s="1"/>
      <c r="O53" s="1"/>
      <c r="P53" s="1"/>
      <c r="Q53" s="1"/>
    </row>
    <row r="54" spans="8:17" x14ac:dyDescent="0.25">
      <c r="H54" s="1"/>
      <c r="I54" s="1"/>
      <c r="J54" s="1"/>
      <c r="K54" s="1"/>
      <c r="L54" s="1"/>
      <c r="M54" s="1"/>
      <c r="N54" s="1"/>
      <c r="O54" s="1"/>
      <c r="P54" s="1"/>
      <c r="Q54" s="1"/>
    </row>
    <row r="55" spans="8:17" x14ac:dyDescent="0.25">
      <c r="H55" s="1"/>
      <c r="I55" s="1"/>
      <c r="J55" s="1"/>
      <c r="K55" s="1"/>
      <c r="L55" s="1"/>
      <c r="M55" s="1"/>
      <c r="N55" s="1"/>
      <c r="O55" s="1"/>
      <c r="P55" s="1"/>
      <c r="Q55" s="1"/>
    </row>
    <row r="56" spans="8:17" x14ac:dyDescent="0.25">
      <c r="H56" s="1"/>
      <c r="I56" s="1"/>
      <c r="J56" s="1"/>
      <c r="K56" s="1"/>
      <c r="L56" s="1"/>
      <c r="M56" s="1"/>
      <c r="N56" s="1"/>
      <c r="O56" s="1"/>
      <c r="P56" s="1"/>
      <c r="Q56" s="1"/>
    </row>
    <row r="57" spans="8:17" x14ac:dyDescent="0.25">
      <c r="H57" s="1"/>
      <c r="I57" s="1"/>
      <c r="J57" s="1"/>
      <c r="K57" s="1"/>
      <c r="L57" s="1"/>
      <c r="M57" s="1"/>
      <c r="N57" s="1"/>
      <c r="O57" s="1"/>
      <c r="P57" s="1"/>
      <c r="Q57" s="1"/>
    </row>
    <row r="58" spans="8:17" x14ac:dyDescent="0.25">
      <c r="H58" s="1"/>
      <c r="I58" s="1"/>
      <c r="J58" s="1"/>
      <c r="K58" s="1"/>
      <c r="L58" s="1"/>
      <c r="M58" s="1"/>
      <c r="N58" s="1"/>
      <c r="O58" s="1"/>
      <c r="P58" s="1"/>
      <c r="Q58" s="1"/>
    </row>
    <row r="59" spans="8:17" x14ac:dyDescent="0.25">
      <c r="H59" s="1"/>
      <c r="I59" s="1"/>
      <c r="J59" s="1"/>
      <c r="K59" s="1"/>
      <c r="L59" s="1"/>
      <c r="M59" s="1"/>
      <c r="N59" s="1"/>
      <c r="O59" s="1"/>
      <c r="P59" s="1"/>
      <c r="Q59" s="1"/>
    </row>
    <row r="60" spans="8:17" x14ac:dyDescent="0.25">
      <c r="H60" s="1"/>
      <c r="I60" s="1"/>
      <c r="J60" s="1"/>
      <c r="K60" s="1"/>
      <c r="L60" s="1"/>
      <c r="M60" s="1"/>
      <c r="N60" s="1"/>
      <c r="O60" s="1"/>
      <c r="P60" s="1"/>
      <c r="Q60" s="1"/>
    </row>
    <row r="61" spans="8:17" x14ac:dyDescent="0.25">
      <c r="H61" s="1"/>
      <c r="I61" s="1"/>
      <c r="J61" s="1"/>
      <c r="K61" s="1"/>
      <c r="L61" s="1"/>
      <c r="M61" s="1"/>
      <c r="N61" s="1"/>
      <c r="O61" s="1"/>
      <c r="P61" s="1"/>
      <c r="Q61" s="1"/>
    </row>
    <row r="62" spans="8:17" x14ac:dyDescent="0.25">
      <c r="H62" s="1"/>
      <c r="I62" s="1"/>
      <c r="J62" s="1"/>
      <c r="K62" s="1"/>
      <c r="L62" s="1"/>
      <c r="M62" s="1"/>
      <c r="N62" s="1"/>
      <c r="O62" s="1"/>
      <c r="P62" s="1"/>
      <c r="Q62" s="1"/>
    </row>
    <row r="63" spans="8:17" x14ac:dyDescent="0.25">
      <c r="H63" s="1"/>
      <c r="I63" s="1"/>
      <c r="J63" s="1"/>
      <c r="K63" s="1"/>
      <c r="L63" s="1"/>
      <c r="M63" s="1"/>
      <c r="N63" s="1"/>
      <c r="O63" s="1"/>
      <c r="P63" s="1"/>
      <c r="Q63" s="1"/>
    </row>
    <row r="64" spans="8:17" x14ac:dyDescent="0.25">
      <c r="H64" s="1"/>
      <c r="I64" s="1"/>
      <c r="J64" s="1"/>
      <c r="K64" s="1"/>
      <c r="L64" s="1"/>
      <c r="M64" s="1"/>
      <c r="N64" s="1"/>
      <c r="O64" s="1"/>
      <c r="P64" s="1"/>
      <c r="Q64" s="1"/>
    </row>
    <row r="65" spans="8:17" x14ac:dyDescent="0.25">
      <c r="H65" s="1"/>
      <c r="I65" s="1"/>
      <c r="J65" s="1"/>
      <c r="K65" s="1"/>
      <c r="L65" s="1"/>
      <c r="M65" s="1"/>
      <c r="N65" s="1"/>
      <c r="O65" s="1"/>
      <c r="P65" s="1"/>
      <c r="Q65" s="1"/>
    </row>
    <row r="66" spans="8:17" x14ac:dyDescent="0.25">
      <c r="H66" s="1"/>
      <c r="I66" s="1"/>
      <c r="J66" s="1"/>
      <c r="K66" s="1"/>
      <c r="L66" s="1"/>
      <c r="M66" s="1"/>
      <c r="N66" s="1"/>
      <c r="O66" s="1"/>
      <c r="P66" s="1"/>
      <c r="Q66" s="1"/>
    </row>
    <row r="67" spans="8:17" x14ac:dyDescent="0.25">
      <c r="H67" s="1"/>
      <c r="I67" s="1"/>
      <c r="J67" s="1"/>
      <c r="K67" s="1"/>
      <c r="L67" s="1"/>
      <c r="M67" s="1"/>
      <c r="N67" s="1"/>
      <c r="O67" s="1"/>
      <c r="P67" s="1"/>
      <c r="Q67" s="1"/>
    </row>
    <row r="68" spans="8:17" x14ac:dyDescent="0.25">
      <c r="H68" s="1"/>
      <c r="I68" s="1"/>
      <c r="J68" s="1"/>
      <c r="K68" s="1"/>
      <c r="L68" s="1"/>
      <c r="M68" s="1"/>
      <c r="N68" s="1"/>
      <c r="O68" s="1"/>
      <c r="P68" s="1"/>
      <c r="Q68" s="1"/>
    </row>
    <row r="69" spans="8:17" x14ac:dyDescent="0.25">
      <c r="H69" s="1"/>
      <c r="I69" s="1"/>
      <c r="J69" s="1"/>
      <c r="K69" s="1"/>
      <c r="L69" s="1"/>
      <c r="M69" s="1"/>
      <c r="N69" s="1"/>
      <c r="O69" s="1"/>
      <c r="P69" s="1"/>
      <c r="Q69" s="1"/>
    </row>
    <row r="70" spans="8:17" x14ac:dyDescent="0.25">
      <c r="H70" s="1"/>
      <c r="I70" s="1"/>
      <c r="J70" s="1"/>
      <c r="K70" s="1"/>
      <c r="L70" s="1"/>
      <c r="M70" s="1"/>
      <c r="N70" s="1"/>
      <c r="O70" s="1"/>
      <c r="P70" s="1"/>
      <c r="Q70" s="1"/>
    </row>
    <row r="71" spans="8:17" x14ac:dyDescent="0.25">
      <c r="H71" s="1"/>
      <c r="I71" s="1"/>
      <c r="J71" s="1"/>
      <c r="K71" s="1"/>
      <c r="L71" s="1"/>
      <c r="M71" s="1"/>
      <c r="N71" s="1"/>
      <c r="O71" s="1"/>
      <c r="P71" s="1"/>
      <c r="Q71" s="1"/>
    </row>
    <row r="72" spans="8:17" x14ac:dyDescent="0.25">
      <c r="H72" s="1"/>
      <c r="I72" s="1"/>
      <c r="J72" s="1"/>
      <c r="K72" s="1"/>
      <c r="L72" s="1"/>
      <c r="M72" s="1"/>
      <c r="N72" s="1"/>
      <c r="O72" s="1"/>
      <c r="P72" s="1"/>
      <c r="Q72" s="1"/>
    </row>
    <row r="73" spans="8:17" x14ac:dyDescent="0.25">
      <c r="H73" s="1"/>
      <c r="I73" s="1"/>
      <c r="J73" s="1"/>
      <c r="K73" s="1"/>
      <c r="L73" s="1"/>
      <c r="M73" s="1"/>
      <c r="N73" s="1"/>
      <c r="O73" s="1"/>
      <c r="P73" s="1"/>
      <c r="Q73" s="1"/>
    </row>
    <row r="74" spans="8:17" x14ac:dyDescent="0.25">
      <c r="H74" s="1"/>
      <c r="I74" s="1"/>
      <c r="J74" s="1"/>
      <c r="K74" s="1"/>
      <c r="L74" s="1"/>
      <c r="M74" s="1"/>
      <c r="N74" s="1"/>
      <c r="O74" s="1"/>
      <c r="P74" s="1"/>
      <c r="Q74" s="1"/>
    </row>
    <row r="75" spans="8:17" x14ac:dyDescent="0.25">
      <c r="H75" s="1"/>
      <c r="I75" s="1"/>
      <c r="J75" s="1"/>
      <c r="K75" s="1"/>
      <c r="L75" s="1"/>
      <c r="M75" s="1"/>
      <c r="N75" s="1"/>
      <c r="O75" s="1"/>
      <c r="P75" s="1"/>
      <c r="Q75" s="1"/>
    </row>
    <row r="76" spans="8:17" x14ac:dyDescent="0.25">
      <c r="H76" s="1"/>
      <c r="I76" s="1"/>
      <c r="J76" s="1"/>
      <c r="K76" s="1"/>
      <c r="L76" s="1"/>
      <c r="M76" s="1"/>
      <c r="N76" s="1"/>
      <c r="O76" s="1"/>
      <c r="P76" s="1"/>
      <c r="Q76" s="1"/>
    </row>
    <row r="77" spans="8:17" x14ac:dyDescent="0.25">
      <c r="H77" s="1"/>
      <c r="I77" s="1"/>
      <c r="J77" s="1"/>
      <c r="K77" s="1"/>
      <c r="L77" s="1"/>
      <c r="M77" s="1"/>
      <c r="N77" s="1"/>
      <c r="O77" s="1"/>
      <c r="P77" s="1"/>
      <c r="Q77" s="1"/>
    </row>
    <row r="78" spans="8:17" x14ac:dyDescent="0.25">
      <c r="H78" s="1"/>
      <c r="I78" s="1"/>
      <c r="J78" s="1"/>
      <c r="K78" s="1"/>
      <c r="L78" s="1"/>
      <c r="M78" s="1"/>
      <c r="N78" s="1"/>
      <c r="O78" s="1"/>
      <c r="P78" s="1"/>
      <c r="Q78" s="1"/>
    </row>
    <row r="79" spans="8:17" x14ac:dyDescent="0.25">
      <c r="H79" s="1"/>
      <c r="I79" s="1"/>
      <c r="J79" s="1"/>
      <c r="K79" s="1"/>
      <c r="L79" s="1"/>
      <c r="M79" s="1"/>
      <c r="N79" s="1"/>
      <c r="O79" s="1"/>
      <c r="P79" s="1"/>
      <c r="Q79" s="1"/>
    </row>
    <row r="80" spans="8:17" x14ac:dyDescent="0.25">
      <c r="H80" s="1"/>
      <c r="I80" s="1"/>
      <c r="J80" s="1"/>
      <c r="K80" s="1"/>
      <c r="L80" s="1"/>
      <c r="M80" s="1"/>
      <c r="N80" s="1"/>
      <c r="O80" s="1"/>
      <c r="P80" s="1"/>
      <c r="Q80" s="1"/>
    </row>
    <row r="81" spans="8:17" x14ac:dyDescent="0.25">
      <c r="H81" s="1"/>
      <c r="I81" s="1"/>
      <c r="J81" s="1"/>
      <c r="K81" s="1"/>
      <c r="L81" s="1"/>
      <c r="M81" s="1"/>
      <c r="N81" s="1"/>
      <c r="O81" s="1"/>
      <c r="P81" s="1"/>
      <c r="Q81" s="1"/>
    </row>
    <row r="82" spans="8:17" x14ac:dyDescent="0.25">
      <c r="H82" s="1"/>
      <c r="I82" s="1"/>
      <c r="J82" s="1"/>
      <c r="K82" s="1"/>
      <c r="L82" s="1"/>
      <c r="M82" s="1"/>
      <c r="N82" s="1"/>
      <c r="O82" s="1"/>
      <c r="P82" s="1"/>
      <c r="Q82" s="1"/>
    </row>
    <row r="83" spans="8:17" x14ac:dyDescent="0.25">
      <c r="H83" s="1"/>
      <c r="I83" s="1"/>
      <c r="J83" s="1"/>
      <c r="K83" s="1"/>
      <c r="L83" s="1"/>
      <c r="M83" s="1"/>
      <c r="N83" s="1"/>
      <c r="O83" s="1"/>
      <c r="P83" s="1"/>
      <c r="Q83" s="1"/>
    </row>
    <row r="84" spans="8:17" x14ac:dyDescent="0.25">
      <c r="H84" s="1"/>
      <c r="I84" s="1"/>
      <c r="J84" s="1"/>
      <c r="K84" s="1"/>
      <c r="L84" s="1"/>
      <c r="M84" s="1"/>
      <c r="N84" s="1"/>
      <c r="O84" s="1"/>
      <c r="P84" s="1"/>
      <c r="Q84" s="1"/>
    </row>
    <row r="85" spans="8:17" x14ac:dyDescent="0.25">
      <c r="H85" s="1"/>
      <c r="I85" s="1"/>
      <c r="J85" s="1"/>
      <c r="K85" s="1"/>
      <c r="L85" s="1"/>
      <c r="M85" s="1"/>
      <c r="N85" s="1"/>
      <c r="O85" s="1"/>
      <c r="P85" s="1"/>
      <c r="Q85" s="1"/>
    </row>
    <row r="86" spans="8:17" x14ac:dyDescent="0.25">
      <c r="H86" s="1"/>
      <c r="I86" s="1"/>
      <c r="J86" s="1"/>
      <c r="K86" s="1"/>
      <c r="L86" s="1"/>
      <c r="M86" s="1"/>
      <c r="N86" s="1"/>
      <c r="O86" s="1"/>
      <c r="P86" s="1"/>
      <c r="Q86" s="1"/>
    </row>
    <row r="87" spans="8:17" x14ac:dyDescent="0.25">
      <c r="H87" s="1"/>
      <c r="I87" s="1"/>
      <c r="J87" s="1"/>
      <c r="K87" s="1"/>
      <c r="L87" s="1"/>
      <c r="M87" s="1"/>
      <c r="N87" s="1"/>
      <c r="O87" s="1"/>
      <c r="P87" s="1"/>
      <c r="Q87" s="1"/>
    </row>
    <row r="88" spans="8:17" x14ac:dyDescent="0.25">
      <c r="H88" s="1"/>
      <c r="I88" s="1"/>
      <c r="J88" s="1"/>
      <c r="K88" s="1"/>
      <c r="L88" s="1"/>
      <c r="M88" s="1"/>
      <c r="N88" s="1"/>
      <c r="O88" s="1"/>
      <c r="P88" s="1"/>
      <c r="Q88" s="1"/>
    </row>
    <row r="89" spans="8:17" x14ac:dyDescent="0.25">
      <c r="H89" s="1"/>
      <c r="I89" s="1"/>
      <c r="J89" s="1"/>
      <c r="K89" s="1"/>
      <c r="L89" s="1"/>
      <c r="M89" s="1"/>
      <c r="N89" s="1"/>
      <c r="O89" s="1"/>
      <c r="P89" s="1"/>
      <c r="Q89" s="1"/>
    </row>
    <row r="90" spans="8:17" x14ac:dyDescent="0.25">
      <c r="H90" s="1"/>
      <c r="I90" s="1"/>
      <c r="J90" s="1"/>
      <c r="K90" s="1"/>
      <c r="L90" s="1"/>
      <c r="M90" s="1"/>
      <c r="N90" s="1"/>
      <c r="O90" s="1"/>
      <c r="P90" s="1"/>
      <c r="Q90" s="1"/>
    </row>
    <row r="91" spans="8:17" x14ac:dyDescent="0.25">
      <c r="H91" s="1"/>
      <c r="I91" s="1"/>
      <c r="J91" s="1"/>
      <c r="K91" s="1"/>
      <c r="L91" s="1"/>
      <c r="M91" s="1"/>
      <c r="N91" s="1"/>
      <c r="O91" s="1"/>
      <c r="P91" s="1"/>
      <c r="Q91" s="1"/>
    </row>
    <row r="92" spans="8:17" x14ac:dyDescent="0.25">
      <c r="H92" s="1"/>
      <c r="I92" s="1"/>
      <c r="J92" s="1"/>
      <c r="K92" s="1"/>
      <c r="L92" s="1"/>
      <c r="M92" s="1"/>
      <c r="N92" s="1"/>
      <c r="O92" s="1"/>
      <c r="P92" s="1"/>
      <c r="Q92" s="1"/>
    </row>
    <row r="93" spans="8:17" x14ac:dyDescent="0.25">
      <c r="H93" s="1"/>
      <c r="I93" s="1"/>
      <c r="J93" s="1"/>
      <c r="K93" s="1"/>
      <c r="L93" s="1"/>
      <c r="M93" s="1"/>
      <c r="N93" s="1"/>
      <c r="O93" s="1"/>
      <c r="P93" s="1"/>
      <c r="Q93" s="1"/>
    </row>
    <row r="94" spans="8:17" x14ac:dyDescent="0.25">
      <c r="H94" s="1"/>
      <c r="I94" s="1"/>
      <c r="J94" s="1"/>
      <c r="K94" s="1"/>
      <c r="L94" s="1"/>
      <c r="M94" s="1"/>
      <c r="N94" s="1"/>
      <c r="O94" s="1"/>
      <c r="P94" s="1"/>
      <c r="Q94" s="1"/>
    </row>
    <row r="95" spans="8:17" x14ac:dyDescent="0.25">
      <c r="H95" s="1"/>
      <c r="I95" s="1"/>
      <c r="J95" s="1"/>
      <c r="K95" s="1"/>
      <c r="L95" s="1"/>
      <c r="M95" s="1"/>
      <c r="N95" s="1"/>
      <c r="O95" s="1"/>
      <c r="P95" s="1"/>
      <c r="Q95" s="1"/>
    </row>
    <row r="96" spans="8:17" x14ac:dyDescent="0.25">
      <c r="H96" s="1"/>
      <c r="I96" s="1"/>
      <c r="J96" s="1"/>
      <c r="K96" s="1"/>
      <c r="L96" s="1"/>
      <c r="M96" s="1"/>
      <c r="N96" s="1"/>
      <c r="O96" s="1"/>
      <c r="P96" s="1"/>
      <c r="Q96" s="1"/>
    </row>
    <row r="97" spans="8:17" x14ac:dyDescent="0.25">
      <c r="H97" s="1"/>
      <c r="I97" s="1"/>
      <c r="J97" s="1"/>
      <c r="K97" s="1"/>
      <c r="L97" s="1"/>
      <c r="M97" s="1"/>
      <c r="N97" s="1"/>
      <c r="O97" s="1"/>
      <c r="P97" s="1"/>
      <c r="Q97" s="1"/>
    </row>
    <row r="98" spans="8:17" x14ac:dyDescent="0.25">
      <c r="H98" s="1"/>
      <c r="I98" s="1"/>
      <c r="J98" s="1"/>
      <c r="K98" s="1"/>
      <c r="L98" s="1"/>
      <c r="M98" s="1"/>
      <c r="N98" s="1"/>
      <c r="O98" s="1"/>
      <c r="P98" s="1"/>
      <c r="Q98" s="1"/>
    </row>
    <row r="99" spans="8:17" x14ac:dyDescent="0.25">
      <c r="H99" s="1"/>
      <c r="I99" s="1"/>
      <c r="J99" s="1"/>
      <c r="K99" s="1"/>
      <c r="L99" s="1"/>
      <c r="M99" s="1"/>
      <c r="N99" s="1"/>
      <c r="O99" s="1"/>
      <c r="P99" s="1"/>
      <c r="Q99" s="1"/>
    </row>
    <row r="100" spans="8:17" x14ac:dyDescent="0.25">
      <c r="H100" s="1"/>
      <c r="I100" s="1"/>
      <c r="J100" s="1"/>
      <c r="K100" s="1"/>
      <c r="L100" s="1"/>
      <c r="M100" s="1"/>
      <c r="N100" s="1"/>
      <c r="O100" s="1"/>
      <c r="P100" s="1"/>
      <c r="Q100" s="1"/>
    </row>
  </sheetData>
  <conditionalFormatting sqref="A2:R15">
    <cfRule type="expression" dxfId="2" priority="1" stopIfTrue="1">
      <formula>A2=""</formula>
    </cfRule>
    <cfRule type="expression" dxfId="1" priority="2" stopIfTrue="1">
      <formula>$R2="True"</formula>
    </cfRule>
    <cfRule type="expression" dxfId="0" priority="3" stopIfTrue="1">
      <formula>$R2="False"</formula>
    </cfRule>
  </conditionalFormatting>
  <hyperlinks>
    <hyperlink ref="B2" r:id="rId1" xr:uid="{00000000-0004-0000-0400-000000000000}"/>
    <hyperlink ref="B3" r:id="rId2" xr:uid="{00000000-0004-0000-0400-000001000000}"/>
    <hyperlink ref="B4" r:id="rId3" xr:uid="{00000000-0004-0000-0400-000002000000}"/>
    <hyperlink ref="B5" r:id="rId4" xr:uid="{00000000-0004-0000-0400-000003000000}"/>
    <hyperlink ref="B6" r:id="rId5" xr:uid="{00000000-0004-0000-0400-000004000000}"/>
    <hyperlink ref="B7" r:id="rId6" xr:uid="{00000000-0004-0000-0400-000005000000}"/>
    <hyperlink ref="B8" r:id="rId7" xr:uid="{00000000-0004-0000-0400-000006000000}"/>
    <hyperlink ref="B9" r:id="rId8" xr:uid="{00000000-0004-0000-0400-000007000000}"/>
    <hyperlink ref="B10" r:id="rId9" xr:uid="{00000000-0004-0000-0400-000008000000}"/>
    <hyperlink ref="B11" r:id="rId10" xr:uid="{00000000-0004-0000-0400-000009000000}"/>
    <hyperlink ref="B12" r:id="rId11" xr:uid="{00000000-0004-0000-0400-00000A000000}"/>
    <hyperlink ref="B13" r:id="rId12" xr:uid="{00000000-0004-0000-0400-00000B000000}"/>
    <hyperlink ref="B14" r:id="rId13" xr:uid="{00000000-0004-0000-0400-00000C000000}"/>
    <hyperlink ref="B15" r:id="rId14" xr:uid="{00000000-0004-0000-0400-00000D000000}"/>
  </hyperlinks>
  <pageMargins left="0.7" right="0.7" top="0.75" bottom="0.75" header="0.3" footer="0.3"/>
  <legacyDrawing r:id="rId15"/>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Benchmark_Evaluation-Paper</vt:lpstr>
      <vt:lpstr>Case-Study_Application-Paper</vt:lpstr>
      <vt:lpstr>Other</vt:lpstr>
      <vt:lpstr>Position_Vision-Paper</vt:lpstr>
      <vt:lpstr>System_Tool-Paper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Dominik Krakau</cp:lastModifiedBy>
  <dcterms:created xsi:type="dcterms:W3CDTF">2026-10-09T12:51:29Z</dcterms:created>
  <dcterms:modified xsi:type="dcterms:W3CDTF">2026-10-09T15:08:19Z</dcterms:modified>
</cp:coreProperties>
</file>